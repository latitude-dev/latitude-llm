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name="Assumptions" sheetId="1" state="visible" r:id="rId1"/>
    <sheet name="Derived" sheetId="2" state="visible" r:id="rId2"/>
    <sheet name="Operations" sheetId="3" state="visible" r:id="rId3"/>
    <sheet name="Worst-Case Scenarios" sheetId="4" state="visible" r:id="rId4"/>
    <sheet name="Allocation Calculator" sheetId="5" state="visible" r:id="rId5"/>
    <sheet name="Codebase Reference" sheetId="6" state="visible" r:id="rId6"/>
    <sheet name="Feature Breakdown" sheetId="7" state="visible" r:id="rId7"/>
    <sheet name="Pricing Ti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000_);($#,##0.00000)"/>
    <numFmt numFmtId="165" formatCode="$#,##0_);($#,##0)"/>
    <numFmt numFmtId="166" formatCode="#,##0.0%"/>
    <numFmt numFmtId="167" formatCode="$#,##0.000000_);($#,##0.000000)"/>
    <numFmt numFmtId="168" formatCode="$#,##0.0000_);($#,##0.0000)"/>
    <numFmt numFmtId="169" formatCode="#,##0%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rgb="FFffffff"/>
      <sz val="12"/>
    </font>
    <font>
      <name val="Calibri"/>
      <family val="2"/>
      <color theme="1"/>
      <sz val="11"/>
    </font>
    <font>
      <name val="Calibri"/>
      <family val="2"/>
      <color theme="1"/>
      <sz val="12"/>
    </font>
    <font>
      <name val="Calibri"/>
      <family val="2"/>
      <color theme="1"/>
      <sz val="13"/>
    </font>
    <font>
      <name val="Calibri"/>
      <family val="2"/>
      <color rgb="FF000000"/>
      <sz val="14"/>
    </font>
    <font>
      <name val="Calibri"/>
      <family val="2"/>
      <color rgb="FFffffff"/>
      <sz val="12"/>
    </font>
    <font>
      <name val="Calibri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8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general" wrapText="1"/>
    </xf>
    <xf numFmtId="0" fontId="3" fillId="2" borderId="2" applyAlignment="1" pivotButton="0" quotePrefix="0" xfId="0">
      <alignment horizontal="center" wrapText="1"/>
    </xf>
    <xf numFmtId="3" fontId="3" fillId="2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6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 wrapText="1"/>
    </xf>
    <xf numFmtId="0" fontId="5" fillId="3" borderId="3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3" fontId="4" fillId="4" borderId="2" applyAlignment="1" pivotButton="0" quotePrefix="0" xfId="0">
      <alignment horizontal="right"/>
    </xf>
    <xf numFmtId="167" fontId="4" fillId="5" borderId="3" applyAlignment="1" pivotButton="0" quotePrefix="0" xfId="0">
      <alignment horizontal="right"/>
    </xf>
    <xf numFmtId="165" fontId="4" fillId="5" borderId="3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6" fontId="6" fillId="5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165" fontId="0" fillId="0" borderId="0" applyAlignment="1" pivotButton="0" quotePrefix="0" xfId="0">
      <alignment horizontal="general"/>
    </xf>
    <xf numFmtId="165" fontId="3" fillId="2" borderId="2" applyAlignment="1" pivotButton="0" quotePrefix="0" xfId="0">
      <alignment horizontal="center" wrapText="1"/>
    </xf>
    <xf numFmtId="0" fontId="4" fillId="3" borderId="3" applyAlignment="1" pivotButton="0" quotePrefix="0" xfId="0">
      <alignment horizontal="left"/>
    </xf>
    <xf numFmtId="168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165" fontId="2" fillId="0" borderId="2" applyAlignment="1" pivotButton="0" quotePrefix="0" xfId="0">
      <alignment horizontal="center"/>
    </xf>
    <xf numFmtId="167" fontId="2" fillId="0" borderId="2" applyAlignment="1" pivotButton="0" quotePrefix="0" xfId="0">
      <alignment horizontal="right"/>
    </xf>
    <xf numFmtId="165" fontId="2" fillId="0" borderId="2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165" fontId="3" fillId="2" borderId="2" applyAlignment="1" pivotButton="0" quotePrefix="0" xfId="0">
      <alignment horizontal="center"/>
    </xf>
    <xf numFmtId="0" fontId="5" fillId="5" borderId="3" applyAlignment="1" pivotButton="0" quotePrefix="0" xfId="0">
      <alignment horizontal="left"/>
    </xf>
    <xf numFmtId="0" fontId="6" fillId="5" borderId="3" applyAlignment="1" pivotButton="0" quotePrefix="0" xfId="0">
      <alignment horizontal="left"/>
    </xf>
    <xf numFmtId="165" fontId="0" fillId="0" borderId="0" applyAlignment="1" pivotButton="0" quotePrefix="0" xfId="0">
      <alignment horizontal="general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8" fillId="2" borderId="2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9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169" fontId="8" fillId="2" borderId="2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169" fontId="9" fillId="4" borderId="2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7" fontId="9" fillId="0" borderId="1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5" fontId="9" fillId="5" borderId="3" applyAlignment="1" pivotButton="0" quotePrefix="0" xfId="0">
      <alignment horizontal="right"/>
    </xf>
    <xf numFmtId="166" fontId="7" fillId="5" borderId="3" applyAlignment="1" pivotButton="0" quotePrefix="0" xfId="0">
      <alignment horizontal="right"/>
    </xf>
    <xf numFmtId="169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right"/>
    </xf>
    <xf numFmtId="7" fontId="0" fillId="0" borderId="0" applyAlignment="1" pivotButton="0" quotePrefix="0" xfId="0">
      <alignment horizontal="right"/>
    </xf>
    <xf numFmtId="7" fontId="2" fillId="0" borderId="1" applyAlignment="1" pivotButton="0" quotePrefix="0" xfId="0">
      <alignment horizontal="right"/>
    </xf>
    <xf numFmtId="7" fontId="8" fillId="2" borderId="2" applyAlignment="1" pivotButton="0" quotePrefix="0" xfId="0">
      <alignment horizontal="center"/>
    </xf>
    <xf numFmtId="3" fontId="9" fillId="0" borderId="2" applyAlignment="1" pivotButton="0" quotePrefix="0" xfId="0">
      <alignment horizontal="right"/>
    </xf>
    <xf numFmtId="7" fontId="9" fillId="0" borderId="2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169" fontId="9" fillId="0" borderId="2" applyAlignment="1" pivotButton="0" quotePrefix="0" xfId="0">
      <alignment horizontal="right"/>
    </xf>
    <xf numFmtId="7" fontId="0" fillId="0" borderId="0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7" fontId="9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left"/>
    </xf>
    <xf numFmtId="3" fontId="9" fillId="5" borderId="2" applyAlignment="1" pivotButton="0" quotePrefix="0" xfId="0">
      <alignment horizontal="right"/>
    </xf>
    <xf numFmtId="165" fontId="9" fillId="5" borderId="2" applyAlignment="1" pivotButton="0" quotePrefix="0" xfId="0">
      <alignment horizontal="right"/>
    </xf>
    <xf numFmtId="0" fontId="9" fillId="5" borderId="2" applyAlignment="1" pivotButton="0" quotePrefix="0" xfId="0">
      <alignment horizontal="left"/>
    </xf>
    <xf numFmtId="167" fontId="9" fillId="5" borderId="2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8" fillId="2" borderId="2" applyAlignment="1" pivotButton="0" quotePrefix="0" xfId="0">
      <alignment horizontal="center"/>
    </xf>
    <xf numFmtId="165" fontId="9" fillId="4" borderId="2" applyAlignment="1" pivotButton="0" quotePrefix="0" xfId="0">
      <alignment horizontal="right"/>
    </xf>
    <xf numFmtId="164" fontId="9" fillId="4" borderId="2" applyAlignment="1" pivotButton="0" quotePrefix="0" xfId="0">
      <alignment horizontal="right"/>
    </xf>
    <xf numFmtId="3" fontId="9" fillId="4" borderId="2" applyAlignment="1" pivotButton="0" quotePrefix="0" xfId="0">
      <alignment horizontal="right"/>
    </xf>
    <xf numFmtId="168" fontId="9" fillId="4" borderId="2" applyAlignment="1" pivotButton="0" quotePrefix="0" xfId="0">
      <alignment horizontal="right"/>
    </xf>
    <xf numFmtId="164" fontId="4" fillId="4" borderId="2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31"/>
  <sheetViews>
    <sheetView workbookViewId="0">
      <selection activeCell="A1" sqref="A1"/>
    </sheetView>
  </sheetViews>
  <sheetFormatPr baseColWidth="8" defaultRowHeight="15"/>
  <cols>
    <col width="42.005" bestFit="1" customWidth="1" style="24" min="1" max="1"/>
    <col width="18.005" bestFit="1" customWidth="1" style="83" min="2" max="2"/>
    <col width="14.005" bestFit="1" customWidth="1" style="24" min="3" max="3"/>
    <col width="50.005" bestFit="1" customWidth="1" style="24" min="4" max="4"/>
  </cols>
  <sheetData>
    <row r="1" ht="22.5" customHeight="1">
      <c r="A1" s="41" t="inlineStr">
        <is>
          <t>INPUTS — edit yellow cells to recalculate everything downstream</t>
        </is>
      </c>
    </row>
    <row r="2" ht="17.25" customHeight="1">
      <c r="A2" s="24" t="n"/>
      <c r="B2" s="76" t="n"/>
      <c r="C2" s="24" t="n"/>
      <c r="D2" s="24" t="n"/>
    </row>
    <row r="3" ht="21" customHeight="1">
      <c r="A3" s="43" t="inlineStr">
        <is>
          <t>Parameter</t>
        </is>
      </c>
      <c r="B3" s="77" t="inlineStr">
        <is>
          <t>Value</t>
        </is>
      </c>
      <c r="C3" s="43" t="inlineStr">
        <is>
          <t>Unit</t>
        </is>
      </c>
      <c r="D3" s="43" t="inlineStr">
        <is>
          <t>Notes</t>
        </is>
      </c>
    </row>
    <row r="4" ht="18" customHeight="1">
      <c r="A4" s="24" t="inlineStr">
        <is>
          <t>Enterprise monthly revenue</t>
        </is>
      </c>
      <c r="B4" s="78" t="n">
        <v>4500</v>
      </c>
      <c r="C4" s="24" t="inlineStr">
        <is>
          <t>USD</t>
        </is>
      </c>
      <c r="D4" s="24" t="inlineStr">
        <is>
          <t>Customer pays this per month</t>
        </is>
      </c>
    </row>
    <row r="5" ht="18" customHeight="1">
      <c r="A5" s="24" t="inlineStr">
        <is>
          <t>Credit sale price</t>
        </is>
      </c>
      <c r="B5" s="79" t="n">
        <v>0.00099</v>
      </c>
      <c r="C5" s="24" t="inlineStr">
        <is>
          <t>USD/credit</t>
        </is>
      </c>
      <c r="D5" s="24" t="inlineStr">
        <is>
          <t>From Pro plan: $99 / 100K credits</t>
        </is>
      </c>
    </row>
    <row r="6" ht="18" customHeight="1">
      <c r="A6" s="24" t="inlineStr">
        <is>
          <t>Target gross margin (low)</t>
        </is>
      </c>
      <c r="B6" s="51" t="n">
        <v>0.6</v>
      </c>
      <c r="C6" s="24" t="inlineStr">
        <is>
          <t>%</t>
        </is>
      </c>
      <c r="D6" s="24" t="inlineStr">
        <is>
          <t>60%</t>
        </is>
      </c>
    </row>
    <row r="7" ht="18" customHeight="1">
      <c r="A7" s="24" t="inlineStr">
        <is>
          <t>Target gross margin (mid)</t>
        </is>
      </c>
      <c r="B7" s="51" t="n">
        <v>0.7</v>
      </c>
      <c r="C7" s="24" t="inlineStr">
        <is>
          <t>%</t>
        </is>
      </c>
      <c r="D7" s="24" t="inlineStr">
        <is>
          <t>70%</t>
        </is>
      </c>
    </row>
    <row r="8" ht="18" customHeight="1">
      <c r="A8" s="24" t="inlineStr">
        <is>
          <t>Target gross margin (high)</t>
        </is>
      </c>
      <c r="B8" s="51" t="n">
        <v>0.8</v>
      </c>
      <c r="C8" s="24" t="inlineStr">
        <is>
          <t>%</t>
        </is>
      </c>
      <c r="D8" s="24" t="inlineStr">
        <is>
          <t>80%</t>
        </is>
      </c>
    </row>
    <row r="9" ht="18.75" customHeight="1">
      <c r="A9" s="24" t="inlineStr">
        <is>
          <t>Fixed infra share / customer</t>
        </is>
      </c>
      <c r="B9" s="78" t="n">
        <v>180</v>
      </c>
      <c r="C9" s="24" t="inlineStr">
        <is>
          <t>USD/month</t>
        </is>
      </c>
      <c r="D9" s="24" t="inlineStr">
        <is>
          <t>ECS + NAT + MemoryDB + Aurora + Datadog + Temporal</t>
        </is>
      </c>
    </row>
    <row r="10" ht="17.25" customHeight="1">
      <c r="A10" s="24" t="n"/>
      <c r="B10" s="76" t="n"/>
      <c r="C10" s="24" t="n"/>
      <c r="D10" s="24" t="n"/>
    </row>
    <row r="11" ht="18" customHeight="1">
      <c r="A11" s="24" t="inlineStr">
        <is>
          <t>CODEBASE: credits per trace</t>
        </is>
      </c>
      <c r="B11" s="80" t="n">
        <v>1</v>
      </c>
      <c r="C11" s="24" t="inlineStr">
        <is>
          <t>credits</t>
        </is>
      </c>
      <c r="D11" s="24" t="inlineStr">
        <is>
          <t>ACTION_CREDITS.trace</t>
        </is>
      </c>
    </row>
    <row r="12" ht="18" customHeight="1">
      <c r="A12" s="24" t="inlineStr">
        <is>
          <t>CODEBASE: credits per flagger-scan</t>
        </is>
      </c>
      <c r="B12" s="80" t="n">
        <v>30</v>
      </c>
      <c r="C12" s="24" t="inlineStr">
        <is>
          <t>credits</t>
        </is>
      </c>
      <c r="D12" s="24" t="inlineStr">
        <is>
          <t>ACTION_CREDITS.flagger-scan</t>
        </is>
      </c>
    </row>
    <row r="13" ht="18" customHeight="1">
      <c r="A13" s="24" t="inlineStr">
        <is>
          <t>CODEBASE: credits per live-eval-scan</t>
        </is>
      </c>
      <c r="B13" s="80" t="n">
        <v>30</v>
      </c>
      <c r="C13" s="24" t="inlineStr">
        <is>
          <t>credits</t>
        </is>
      </c>
      <c r="D13" s="24" t="inlineStr">
        <is>
          <t>ACTION_CREDITS.live-eval-scan</t>
        </is>
      </c>
    </row>
    <row r="14" ht="18.75" customHeight="1">
      <c r="A14" s="24" t="inlineStr">
        <is>
          <t>CODEBASE: credits per eval-generation</t>
        </is>
      </c>
      <c r="B14" s="80" t="n">
        <v>1000</v>
      </c>
      <c r="C14" s="24" t="inlineStr">
        <is>
          <t>credits</t>
        </is>
      </c>
      <c r="D14" s="24" t="inlineStr">
        <is>
          <t>ACTION_CREDITS.eval-generation (GEPA)</t>
        </is>
      </c>
    </row>
    <row r="15" ht="17.25" customHeight="1">
      <c r="A15" s="24" t="n"/>
      <c r="B15" s="76" t="n"/>
      <c r="C15" s="24" t="n"/>
      <c r="D15" s="24" t="n"/>
    </row>
    <row r="16" ht="18" customHeight="1">
      <c r="A16" s="24" t="inlineStr">
        <is>
          <t>Real cost per trace (CH + S3)</t>
        </is>
      </c>
      <c r="B16" s="81" t="n">
        <v>0.0001</v>
      </c>
      <c r="C16" s="24" t="inlineStr">
        <is>
          <t>USD/trace</t>
        </is>
      </c>
      <c r="D16" s="24" t="inlineStr">
        <is>
          <t>ClickHouse write + S3 share</t>
        </is>
      </c>
    </row>
    <row r="17" ht="18" customHeight="1">
      <c r="A17" s="24" t="inlineStr">
        <is>
          <t>Real cost per flagger-scan</t>
        </is>
      </c>
      <c r="B17" s="81" t="n">
        <v>0.011</v>
      </c>
      <c r="C17" s="24" t="inlineStr">
        <is>
          <t>USD/scan</t>
        </is>
      </c>
      <c r="D17" s="24" t="inlineStr">
        <is>
          <t>Haiku 4.5: 2 calls × (~6K in + 1K out) × ($1/M in + $5/M out)</t>
        </is>
      </c>
    </row>
    <row r="18" ht="18" customHeight="1">
      <c r="A18" s="24" t="inlineStr">
        <is>
          <t>Real cost per live-eval-scan</t>
        </is>
      </c>
      <c r="B18" s="81" t="n">
        <v>0.001</v>
      </c>
      <c r="C18" s="24" t="inlineStr">
        <is>
          <t>USD/scan</t>
        </is>
      </c>
      <c r="D18" s="24" t="inlineStr">
        <is>
          <t>1 Bedrock call × 1K tokens × $1/1M</t>
        </is>
      </c>
    </row>
    <row r="19" ht="18.75" customHeight="1">
      <c r="A19" s="24" t="inlineStr">
        <is>
          <t>Real cost per eval-generation</t>
        </is>
      </c>
      <c r="B19" s="81" t="n">
        <v>2.5</v>
      </c>
      <c r="C19" s="24" t="inlineStr">
        <is>
          <t>USD/run</t>
        </is>
      </c>
      <c r="D19" s="24" t="inlineStr">
        <is>
          <t>GEPA: ~2.5M Bedrock tokens × $1/1M (worst case ~$25)</t>
        </is>
      </c>
    </row>
    <row r="20" ht="17.25" customHeight="1">
      <c r="A20" s="24" t="n"/>
      <c r="B20" s="76" t="n"/>
      <c r="C20" s="24" t="n"/>
      <c r="D20" s="24" t="n"/>
    </row>
    <row r="21" ht="18" customHeight="1">
      <c r="A21" s="24" t="inlineStr">
        <is>
          <t>Voyage cost per 1M tokens</t>
        </is>
      </c>
      <c r="B21" s="81" t="n">
        <v>0.12</v>
      </c>
      <c r="C21" s="24" t="inlineStr">
        <is>
          <t>USD/1M</t>
        </is>
      </c>
      <c r="D21" s="24" t="inlineStr">
        <is>
          <t>voyage-4-large</t>
        </is>
      </c>
    </row>
    <row r="22" ht="18" customHeight="1">
      <c r="A22" s="24" t="inlineStr">
        <is>
          <t>Voyage tokens per trace (avg)</t>
        </is>
      </c>
      <c r="B22" s="80" t="n">
        <v>2500</v>
      </c>
      <c r="C22" s="24" t="inlineStr">
        <is>
          <t>tokens</t>
        </is>
      </c>
      <c r="D22" s="24" t="inlineStr">
        <is>
          <t>Chunked conversation, ~500-token chunks</t>
        </is>
      </c>
    </row>
    <row r="23" ht="18.75" customHeight="1">
      <c r="A23" s="24" t="inlineStr">
        <is>
          <t>Voyage monthly cap per org</t>
        </is>
      </c>
      <c r="B23" s="80" t="n">
        <v>5000000000</v>
      </c>
      <c r="C23" s="24" t="inlineStr">
        <is>
          <t>tokens</t>
        </is>
      </c>
      <c r="D23" s="24" t="inlineStr">
        <is>
          <t>EmbedBudgetResolver — $600 max</t>
        </is>
      </c>
    </row>
    <row r="24" ht="17.25" customHeight="1">
      <c r="A24" s="24" t="n"/>
      <c r="B24" s="76" t="n"/>
      <c r="C24" s="24" t="n"/>
      <c r="D24" s="24" t="n"/>
    </row>
    <row r="25" ht="18" customHeight="1">
      <c r="A25" s="24" t="inlineStr">
        <is>
          <t>Issues per N traces (clustering)</t>
        </is>
      </c>
      <c r="B25" s="80" t="n">
        <v>10000</v>
      </c>
      <c r="C25" s="24" t="inlineStr">
        <is>
          <t>ratio</t>
        </is>
      </c>
      <c r="D25" s="24" t="inlineStr">
        <is>
          <t>1 issue per N traces — 10K is typical prod</t>
        </is>
      </c>
    </row>
    <row r="26" ht="18.75" customHeight="1">
      <c r="A26" s="24" t="inlineStr">
        <is>
          <t>Max GEPA per month (contract cap)</t>
        </is>
      </c>
      <c r="B26" s="80" t="n">
        <v>100</v>
      </c>
      <c r="C26" s="24" t="inlineStr">
        <is>
          <t>runs</t>
        </is>
      </c>
      <c r="D26" s="24" t="inlineStr">
        <is>
          <t>Recommended belt-and-suspenders limit</t>
        </is>
      </c>
    </row>
    <row r="27" ht="17.25" customHeight="1">
      <c r="A27" s="24" t="n"/>
      <c r="B27" s="83" t="n"/>
      <c r="C27" s="24" t="n"/>
      <c r="D27" s="24" t="n"/>
    </row>
    <row r="28" ht="17.25" customHeight="1">
      <c r="A28" s="16" t="inlineStr">
        <is>
          <t>── PRICING CURVE INPUTS ──</t>
        </is>
      </c>
      <c r="B28" s="83" t="n"/>
      <c r="C28" s="24" t="n"/>
      <c r="D28" s="24" t="n"/>
    </row>
    <row r="29" ht="17.25" customHeight="1">
      <c r="A29" s="24" t="inlineStr">
        <is>
          <t>Floor price (anchor at 4.5M)</t>
        </is>
      </c>
      <c r="B29" s="82" t="n">
        <v>0.00099</v>
      </c>
      <c r="C29" s="24" t="inlineStr">
        <is>
          <t>USD/credit</t>
        </is>
      </c>
      <c r="D29" s="24" t="inlineStr">
        <is>
          <t>Cheapest price for largest commitment</t>
        </is>
      </c>
    </row>
    <row r="30" ht="17.25" customHeight="1">
      <c r="A30" s="24" t="inlineStr">
        <is>
          <t>Ceiling price (small commits)</t>
        </is>
      </c>
      <c r="B30" s="82" t="n">
        <v>0.002</v>
      </c>
      <c r="C30" s="24" t="inlineStr">
        <is>
          <t>USD/credit</t>
        </is>
      </c>
      <c r="D30" s="24" t="inlineStr">
        <is>
          <t>Approaches Pro overage price</t>
        </is>
      </c>
    </row>
    <row r="31" ht="17.25" customHeight="1">
      <c r="A31" s="24" t="inlineStr">
        <is>
          <t>Anchor volume for floor price</t>
        </is>
      </c>
      <c r="B31" s="82" t="n">
        <v>4500000</v>
      </c>
      <c r="C31" s="24" t="inlineStr">
        <is>
          <t>credits</t>
        </is>
      </c>
      <c r="D31" s="24" t="inlineStr">
        <is>
          <t>Volume where price hits floor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14"/>
  <sheetViews>
    <sheetView workbookViewId="0">
      <selection activeCell="A1" sqref="A1"/>
    </sheetView>
  </sheetViews>
  <sheetFormatPr baseColWidth="8" defaultRowHeight="15"/>
  <cols>
    <col width="42.005" bestFit="1" customWidth="1" style="24" min="1" max="1"/>
    <col width="22.005" bestFit="1" customWidth="1" style="59" min="2" max="2"/>
    <col width="50.005" bestFit="1" customWidth="1" style="24" min="3" max="3"/>
  </cols>
  <sheetData>
    <row r="1" ht="17.25" customHeight="1">
      <c r="A1" s="41" t="inlineStr">
        <is>
          <t>DERIVED VALUES (calculated from Assumptions)</t>
        </is>
      </c>
    </row>
    <row r="2" ht="17.25" customHeight="1">
      <c r="A2" s="24" t="n"/>
      <c r="B2" s="59" t="n"/>
      <c r="C2" s="24" t="n"/>
    </row>
    <row r="3" ht="17.25" customHeight="1">
      <c r="A3" s="43" t="inlineStr">
        <is>
          <t>Quantity</t>
        </is>
      </c>
      <c r="B3" s="43" t="inlineStr">
        <is>
          <t>Value</t>
        </is>
      </c>
      <c r="C3" s="43" t="inlineStr">
        <is>
          <t>Formula</t>
        </is>
      </c>
    </row>
    <row r="4" ht="17.25" customHeight="1">
      <c r="A4" s="24" t="inlineStr">
        <is>
          <t>Total credit pool / month</t>
        </is>
      </c>
      <c r="B4" s="71">
        <f>Assumptions!$B$4/Assumptions!$B$5</f>
        <v/>
      </c>
      <c r="C4" s="24" t="inlineStr">
        <is>
          <t>Revenue / credit price</t>
        </is>
      </c>
    </row>
    <row r="5" ht="17.25" customHeight="1">
      <c r="A5" s="24" t="inlineStr">
        <is>
          <t>COGS budget at 60% margin</t>
        </is>
      </c>
      <c r="B5" s="72">
        <f>Assumptions!$B$4*(1-Assumptions!$B$6)</f>
        <v/>
      </c>
      <c r="C5" s="24" t="inlineStr">
        <is>
          <t>Revenue × (1 − margin)</t>
        </is>
      </c>
    </row>
    <row r="6" ht="17.25" customHeight="1">
      <c r="A6" s="24" t="inlineStr">
        <is>
          <t>COGS budget at 70% margin</t>
        </is>
      </c>
      <c r="B6" s="72">
        <f>Assumptions!$B$4*(1-Assumptions!$B$7)</f>
        <v/>
      </c>
      <c r="C6" s="24" t="inlineStr">
        <is>
          <t>Revenue × (1 − margin)</t>
        </is>
      </c>
    </row>
    <row r="7" ht="17.25" customHeight="1">
      <c r="A7" s="24" t="inlineStr">
        <is>
          <t>COGS budget at 80% margin</t>
        </is>
      </c>
      <c r="B7" s="72">
        <f>Assumptions!$B$4*(1-Assumptions!$B$8)</f>
        <v/>
      </c>
      <c r="C7" s="24" t="inlineStr">
        <is>
          <t>Revenue × (1 − margin)</t>
        </is>
      </c>
    </row>
    <row r="8" ht="17.25" customHeight="1">
      <c r="A8" s="24" t="inlineStr">
        <is>
          <t>Variable budget @ 60% (after fixed)</t>
        </is>
      </c>
      <c r="B8" s="72">
        <f>Assumptions!$B$4*(1-Assumptions!$B$6)-Assumptions!$B$9</f>
        <v/>
      </c>
      <c r="C8" s="24" t="inlineStr">
        <is>
          <t>COGS − fixed infra share</t>
        </is>
      </c>
    </row>
    <row r="9" ht="17.25" customHeight="1">
      <c r="A9" s="24" t="inlineStr">
        <is>
          <t>Variable budget @ 70% (after fixed)</t>
        </is>
      </c>
      <c r="B9" s="72">
        <f>Assumptions!$B$4*(1-Assumptions!$B$7)-Assumptions!$B$9</f>
        <v/>
      </c>
      <c r="C9" s="24" t="n"/>
    </row>
    <row r="10" ht="17.25" customHeight="1">
      <c r="A10" s="24" t="inlineStr">
        <is>
          <t>Variable budget @ 80% (after fixed)</t>
        </is>
      </c>
      <c r="B10" s="72">
        <f>Assumptions!$B$4*(1-Assumptions!$B$8)-Assumptions!$B$9</f>
        <v/>
      </c>
      <c r="C10" s="24" t="n"/>
    </row>
    <row r="11" ht="17.25" customHeight="1">
      <c r="A11" s="24" t="inlineStr">
        <is>
          <t>Voyage max spend (at cap)</t>
        </is>
      </c>
      <c r="B11" s="73">
        <f>Assumptions!$B$23/1000000*Assumptions!$B$21</f>
        <v/>
      </c>
      <c r="C11" s="24" t="inlineStr">
        <is>
          <t>Voyage cap × rate</t>
        </is>
      </c>
    </row>
    <row r="12" ht="17.25" customHeight="1">
      <c r="A12" s="24" t="inlineStr">
        <is>
          <t>Cost-per-credit at 60% margin</t>
        </is>
      </c>
      <c r="B12" s="74">
        <f>(Assumptions!$B$4*(1-Assumptions!$B$6))/(Assumptions!$B$4/Assumptions!$B$5)</f>
        <v/>
      </c>
      <c r="C12" s="24" t="inlineStr">
        <is>
          <t>COGS / credit pool</t>
        </is>
      </c>
    </row>
    <row r="13" ht="17.25" customHeight="1">
      <c r="A13" s="24" t="inlineStr">
        <is>
          <t>Cost-per-credit at 70% margin</t>
        </is>
      </c>
      <c r="B13" s="74">
        <f>(Assumptions!$B$4*(1-Assumptions!$B$7))/(Assumptions!$B$4/Assumptions!$B$5)</f>
        <v/>
      </c>
      <c r="C13" s="24" t="n"/>
    </row>
    <row r="14" ht="17.25" customHeight="1">
      <c r="A14" s="24" t="inlineStr">
        <is>
          <t>Cost-per-credit at 80% margin</t>
        </is>
      </c>
      <c r="B14" s="74">
        <f>(Assumptions!$B$4*(1-Assumptions!$B$8))/(Assumptions!$B$4/Assumptions!$B$5)</f>
        <v/>
      </c>
      <c r="C14" s="24" t="n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G7"/>
  <sheetViews>
    <sheetView workbookViewId="0">
      <selection activeCell="A1" sqref="A1"/>
    </sheetView>
  </sheetViews>
  <sheetFormatPr baseColWidth="8" defaultRowHeight="15"/>
  <cols>
    <col width="28.005" bestFit="1" customWidth="1" style="45" min="1" max="1"/>
    <col width="14.005" bestFit="1" customWidth="1" style="59" min="2" max="2"/>
    <col width="16.005" bestFit="1" customWidth="1" style="59" min="3" max="3"/>
    <col width="18.005" bestFit="1" customWidth="1" style="59" min="4" max="4"/>
    <col width="20.005" bestFit="1" customWidth="1" style="59" min="5" max="5"/>
    <col width="16.005" bestFit="1" customWidth="1" style="59" min="6" max="6"/>
    <col width="16.005" bestFit="1" customWidth="1" style="45" min="7" max="7"/>
  </cols>
  <sheetData>
    <row r="1" ht="17.25" customHeight="1">
      <c r="A1" s="41" t="inlineStr">
        <is>
          <t>PER-OPERATION ECONOMICS</t>
        </is>
      </c>
    </row>
    <row r="2" ht="17.25" customHeight="1">
      <c r="A2" s="45" t="n"/>
      <c r="B2" s="59" t="n"/>
      <c r="C2" s="59" t="n"/>
      <c r="D2" s="59" t="n"/>
      <c r="E2" s="59" t="n"/>
      <c r="F2" s="59" t="n"/>
      <c r="G2" s="45" t="n"/>
    </row>
    <row r="3" ht="17.25" customHeight="1">
      <c r="A3" s="43" t="inlineStr">
        <is>
          <t>Operation</t>
        </is>
      </c>
      <c r="B3" s="43" t="inlineStr">
        <is>
          <t>Credits (codebase)</t>
        </is>
      </c>
      <c r="C3" s="43" t="inlineStr">
        <is>
          <t>Sale price / op</t>
        </is>
      </c>
      <c r="D3" s="43" t="inlineStr">
        <is>
          <t>Real cost / op</t>
        </is>
      </c>
      <c r="E3" s="43" t="inlineStr">
        <is>
          <t>Real cost / credit</t>
        </is>
      </c>
      <c r="F3" s="43" t="inlineStr">
        <is>
          <t>Margin per op</t>
        </is>
      </c>
      <c r="G3" s="43" t="inlineStr">
        <is>
          <t>Status</t>
        </is>
      </c>
    </row>
    <row r="4" ht="17.25" customHeight="1">
      <c r="A4" s="70" t="inlineStr">
        <is>
          <t>trace</t>
        </is>
      </c>
      <c r="B4" s="63">
        <f>Assumptions!$B$11</f>
        <v/>
      </c>
      <c r="C4" s="68">
        <f>Assumptions!$B$11*Assumptions!$B$5</f>
        <v/>
      </c>
      <c r="D4" s="68">
        <f>Assumptions!$B$16</f>
        <v/>
      </c>
      <c r="E4" s="69">
        <f>Assumptions!$B$16/Assumptions!$B$11</f>
        <v/>
      </c>
      <c r="F4" s="66">
        <f>(Assumptions!$B$11*Assumptions!$B$5-Assumptions!$B$16)/(Assumptions!$B$11*Assumptions!$B$5)</f>
        <v/>
      </c>
      <c r="G4" s="70">
        <f>IF(F4&lt;0,"LOSS",IF(F4&lt;0.5,"low margin","OK"))</f>
        <v/>
      </c>
    </row>
    <row r="5" ht="17.25" customHeight="1">
      <c r="A5" s="70" t="inlineStr">
        <is>
          <t>flagger-scan</t>
        </is>
      </c>
      <c r="B5" s="63">
        <f>Assumptions!$B$12</f>
        <v/>
      </c>
      <c r="C5" s="68">
        <f>Assumptions!$B$12*Assumptions!$B$5</f>
        <v/>
      </c>
      <c r="D5" s="68">
        <f>Assumptions!$B$17</f>
        <v/>
      </c>
      <c r="E5" s="69">
        <f>Assumptions!$B$17/Assumptions!$B$12</f>
        <v/>
      </c>
      <c r="F5" s="66">
        <f>(Assumptions!$B$12*Assumptions!$B$5-Assumptions!$B$17)/(Assumptions!$B$12*Assumptions!$B$5)</f>
        <v/>
      </c>
      <c r="G5" s="70">
        <f>IF(F5&lt;0,"LOSS",IF(F5&lt;0.5,"low margin","OK"))</f>
        <v/>
      </c>
    </row>
    <row r="6" ht="17.25" customHeight="1">
      <c r="A6" s="70" t="inlineStr">
        <is>
          <t>live-eval-scan</t>
        </is>
      </c>
      <c r="B6" s="63">
        <f>Assumptions!$B$13</f>
        <v/>
      </c>
      <c r="C6" s="68">
        <f>Assumptions!$B$13*Assumptions!$B$5</f>
        <v/>
      </c>
      <c r="D6" s="68">
        <f>Assumptions!$B$18</f>
        <v/>
      </c>
      <c r="E6" s="69">
        <f>Assumptions!$B$18/Assumptions!$B$13</f>
        <v/>
      </c>
      <c r="F6" s="66">
        <f>(Assumptions!$B$13*Assumptions!$B$5-Assumptions!$B$18)/(Assumptions!$B$13*Assumptions!$B$5)</f>
        <v/>
      </c>
      <c r="G6" s="70">
        <f>IF(F6&lt;0,"LOSS",IF(F6&lt;0.5,"low margin","OK"))</f>
        <v/>
      </c>
    </row>
    <row r="7" ht="17.25" customHeight="1">
      <c r="A7" s="70" t="inlineStr">
        <is>
          <t>eval-generation</t>
        </is>
      </c>
      <c r="B7" s="63">
        <f>Assumptions!$B$14</f>
        <v/>
      </c>
      <c r="C7" s="68">
        <f>Assumptions!$B$14*Assumptions!$B$5</f>
        <v/>
      </c>
      <c r="D7" s="68">
        <f>Assumptions!$B$19</f>
        <v/>
      </c>
      <c r="E7" s="69">
        <f>Assumptions!$B$19/Assumptions!$B$14</f>
        <v/>
      </c>
      <c r="F7" s="66">
        <f>(Assumptions!$B$14*Assumptions!$B$5-Assumptions!$B$19)/(Assumptions!$B$14*Assumptions!$B$5)</f>
        <v/>
      </c>
      <c r="G7" s="70">
        <f>IF(F7&lt;0,"LOSS",IF(F7&lt;0.5,"low margin","OK"))</f>
        <v/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9"/>
  <sheetViews>
    <sheetView workbookViewId="0">
      <selection activeCell="A1" sqref="A1"/>
    </sheetView>
  </sheetViews>
  <sheetFormatPr baseColWidth="8" defaultRowHeight="15"/>
  <cols>
    <col width="32.005" bestFit="1" customWidth="1" style="45" min="1" max="1"/>
    <col width="16.005" bestFit="1" customWidth="1" style="59" min="2" max="2"/>
    <col width="16.005" bestFit="1" customWidth="1" style="59" min="3" max="3"/>
    <col width="16.005" bestFit="1" customWidth="1" style="67" min="4" max="4"/>
    <col width="16.005" bestFit="1" customWidth="1" style="59" min="5" max="5"/>
    <col width="16.005" bestFit="1" customWidth="1" style="59" min="6" max="6"/>
    <col width="16.005" bestFit="1" customWidth="1" style="59" min="7" max="7"/>
  </cols>
  <sheetData>
    <row r="1" ht="17.25" customHeight="1">
      <c r="A1" s="41" t="inlineStr">
        <is>
          <t>WORST CASE: customer spends 100% of credits on one action</t>
        </is>
      </c>
    </row>
    <row r="2" ht="17.25" customHeight="1">
      <c r="A2" s="45" t="n"/>
      <c r="B2" s="59" t="n"/>
      <c r="C2" s="59" t="n"/>
      <c r="D2" s="61" t="n"/>
      <c r="E2" s="59" t="n"/>
      <c r="F2" s="59" t="n"/>
      <c r="G2" s="59" t="n"/>
    </row>
    <row r="3" ht="17.25" customHeight="1">
      <c r="A3" s="43" t="inlineStr">
        <is>
          <t>All credits on…</t>
        </is>
      </c>
      <c r="B3" s="43" t="inlineStr">
        <is>
          <t>Operations</t>
        </is>
      </c>
      <c r="C3" s="43" t="inlineStr">
        <is>
          <t>Op cost</t>
        </is>
      </c>
      <c r="D3" s="62" t="inlineStr">
        <is>
          <t>Voyage drag</t>
        </is>
      </c>
      <c r="E3" s="43" t="inlineStr">
        <is>
          <t>Fixed</t>
        </is>
      </c>
      <c r="F3" s="43" t="inlineStr">
        <is>
          <t>Total COGS</t>
        </is>
      </c>
      <c r="G3" s="43" t="inlineStr">
        <is>
          <t>Margin</t>
        </is>
      </c>
    </row>
    <row r="4" ht="17.25" customHeight="1">
      <c r="A4" s="70" t="inlineStr">
        <is>
          <t>100% trace</t>
        </is>
      </c>
      <c r="B4" s="63">
        <f>Derived!$B$4/Assumptions!$B$11</f>
        <v/>
      </c>
      <c r="C4" s="64">
        <f>(Derived!$B$4/Assumptions!$B$11)*Assumptions!$B$16</f>
        <v/>
      </c>
      <c r="D4" s="64">
        <f>MIN(Derived!$B$4/Assumptions!$B$11*Assumptions!$B$22/1000000*Assumptions!$B$21,Derived!$B$11)</f>
        <v/>
      </c>
      <c r="E4" s="65">
        <f>Assumptions!$B$9</f>
        <v/>
      </c>
      <c r="F4" s="65">
        <f>C4+D4+E4</f>
        <v/>
      </c>
      <c r="G4" s="66">
        <f>(Assumptions!$B$4-F4)/Assumptions!$B$4</f>
        <v/>
      </c>
    </row>
    <row r="5" ht="17.25" customHeight="1">
      <c r="A5" s="70" t="inlineStr">
        <is>
          <t>100% flagger-scan</t>
        </is>
      </c>
      <c r="B5" s="63">
        <f>Derived!$B$4/Assumptions!$B$12</f>
        <v/>
      </c>
      <c r="C5" s="64">
        <f>(Derived!$B$4/Assumptions!$B$12)*Assumptions!$B$17</f>
        <v/>
      </c>
      <c r="D5" s="64" t="n">
        <v>0</v>
      </c>
      <c r="E5" s="65">
        <f>Assumptions!$B$9</f>
        <v/>
      </c>
      <c r="F5" s="65">
        <f>C5+D5+E5</f>
        <v/>
      </c>
      <c r="G5" s="66">
        <f>(Assumptions!$B$4-F5)/Assumptions!$B$4</f>
        <v/>
      </c>
    </row>
    <row r="6" ht="17.25" customHeight="1">
      <c r="A6" s="70" t="inlineStr">
        <is>
          <t>100% live-eval-scan</t>
        </is>
      </c>
      <c r="B6" s="63">
        <f>Derived!$B$4/Assumptions!$B$13</f>
        <v/>
      </c>
      <c r="C6" s="64">
        <f>(Derived!$B$4/Assumptions!$B$13)*Assumptions!$B$18</f>
        <v/>
      </c>
      <c r="D6" s="64" t="n">
        <v>0</v>
      </c>
      <c r="E6" s="65">
        <f>Assumptions!$B$9</f>
        <v/>
      </c>
      <c r="F6" s="65">
        <f>C6+D6+E6</f>
        <v/>
      </c>
      <c r="G6" s="66">
        <f>(Assumptions!$B$4-F6)/Assumptions!$B$4</f>
        <v/>
      </c>
    </row>
    <row r="7" ht="17.25" customHeight="1">
      <c r="A7" s="70" t="inlineStr">
        <is>
          <t>100% eval-generation (UNGATED)</t>
        </is>
      </c>
      <c r="B7" s="63">
        <f>Derived!$B$4/Assumptions!$B$14</f>
        <v/>
      </c>
      <c r="C7" s="65">
        <f>(Derived!$B$4/Assumptions!$B$14)*Assumptions!$B$19</f>
        <v/>
      </c>
      <c r="D7" s="64" t="n">
        <v>0</v>
      </c>
      <c r="E7" s="65">
        <f>Assumptions!$B$9</f>
        <v/>
      </c>
      <c r="F7" s="65">
        <f>C7+D7+E7</f>
        <v/>
      </c>
      <c r="G7" s="66">
        <f>(Assumptions!$B$4-F7)/Assumptions!$B$4</f>
        <v/>
      </c>
    </row>
    <row r="8" ht="17.25" customHeight="1">
      <c r="A8" s="70" t="inlineStr">
        <is>
          <t>GEPA-max via issue funnel</t>
        </is>
      </c>
      <c r="B8" s="63">
        <f>ROUNDDOWN(Derived!$B$4/(1+Assumptions!$B$14/Assumptions!$B$25)/Assumptions!$B$25,0)</f>
        <v/>
      </c>
      <c r="C8" s="64">
        <f>B8*Assumptions!$B$19+(B8*Assumptions!$B$25)*Assumptions!$B$16</f>
        <v/>
      </c>
      <c r="D8" s="64">
        <f>MIN(B8*Assumptions!$B$25*Assumptions!$B$22/1000000*Assumptions!$B$21,Derived!$B$11)</f>
        <v/>
      </c>
      <c r="E8" s="65">
        <f>Assumptions!$B$9</f>
        <v/>
      </c>
      <c r="F8" s="65">
        <f>C8+D8+E8</f>
        <v/>
      </c>
      <c r="G8" s="66">
        <f>(Assumptions!$B$4-F8)/Assumptions!$B$4</f>
        <v/>
      </c>
    </row>
    <row r="9" ht="17.25" customHeight="1">
      <c r="A9" s="70" t="inlineStr">
        <is>
          <t>GEPA capped at contract limit</t>
        </is>
      </c>
      <c r="B9" s="63">
        <f>Assumptions!$B$26</f>
        <v/>
      </c>
      <c r="C9" s="64">
        <f>Assumptions!$B$26*Assumptions!$B$19+(Derived!$B$4-Assumptions!$B$26*Assumptions!$B$14)*Assumptions!$B$16</f>
        <v/>
      </c>
      <c r="D9" s="64">
        <f>MIN((Derived!$B$4-Assumptions!$B$26*Assumptions!$B$14)*Assumptions!$B$22/1000000*Assumptions!$B$21,Derived!$B$11)</f>
        <v/>
      </c>
      <c r="E9" s="65">
        <f>Assumptions!$B$9</f>
        <v/>
      </c>
      <c r="F9" s="65">
        <f>C9+D9+E9</f>
        <v/>
      </c>
      <c r="G9" s="66">
        <f>(Assumptions!$B$4-F9)/Assumptions!$B$4</f>
        <v/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E16"/>
  <sheetViews>
    <sheetView workbookViewId="0">
      <selection activeCell="A1" sqref="A1"/>
    </sheetView>
  </sheetViews>
  <sheetFormatPr baseColWidth="8" defaultRowHeight="15"/>
  <cols>
    <col width="28.005" bestFit="1" customWidth="1" style="45" min="1" max="1"/>
    <col width="16.005" bestFit="1" customWidth="1" style="58" min="2" max="2"/>
    <col width="16.005" bestFit="1" customWidth="1" style="24" min="3" max="3"/>
    <col width="16.005" bestFit="1" customWidth="1" style="24" min="4" max="4"/>
    <col width="22.005" bestFit="1" customWidth="1" style="59" min="5" max="5"/>
  </cols>
  <sheetData>
    <row r="1" ht="17.25" customHeight="1">
      <c r="A1" s="41" t="inlineStr">
        <is>
          <t>MIXED ALLOCATION CALCULATOR — edit yellow % column</t>
        </is>
      </c>
    </row>
    <row r="2" ht="17.25" customHeight="1">
      <c r="A2" s="45" t="n"/>
      <c r="B2" s="48" t="n"/>
      <c r="C2" s="24" t="n"/>
      <c r="D2" s="24" t="n"/>
      <c r="E2" s="59" t="n"/>
    </row>
    <row r="3" ht="17.25" customHeight="1">
      <c r="A3" s="43" t="inlineStr">
        <is>
          <t>Action</t>
        </is>
      </c>
      <c r="B3" s="49" t="inlineStr">
        <is>
          <t>% of credit pool</t>
        </is>
      </c>
      <c r="C3" s="43" t="inlineStr">
        <is>
          <t>Credits allocated</t>
        </is>
      </c>
      <c r="D3" s="43" t="inlineStr">
        <is>
          <t>Operations</t>
        </is>
      </c>
      <c r="E3" s="43" t="inlineStr">
        <is>
          <t>Real cost</t>
        </is>
      </c>
    </row>
    <row r="4" ht="17.25" customHeight="1">
      <c r="A4" s="50" t="inlineStr">
        <is>
          <t>trace</t>
        </is>
      </c>
      <c r="B4" s="51" t="n">
        <v>0.6</v>
      </c>
      <c r="C4" s="52">
        <f>B4*Derived!$B$4</f>
        <v/>
      </c>
      <c r="D4" s="52">
        <f>C4/Assumptions!$B$11</f>
        <v/>
      </c>
      <c r="E4" s="53">
        <f>D4*Assumptions!$B$16</f>
        <v/>
      </c>
    </row>
    <row r="5" ht="17.25" customHeight="1">
      <c r="A5" s="50" t="inlineStr">
        <is>
          <t>live-eval-scan</t>
        </is>
      </c>
      <c r="B5" s="51" t="n">
        <v>0.25</v>
      </c>
      <c r="C5" s="52">
        <f>B5*Derived!$B$4</f>
        <v/>
      </c>
      <c r="D5" s="52">
        <f>C5/Assumptions!$B$13</f>
        <v/>
      </c>
      <c r="E5" s="53">
        <f>D5*Assumptions!$B$18</f>
        <v/>
      </c>
    </row>
    <row r="6" ht="17.25" customHeight="1">
      <c r="A6" s="50" t="inlineStr">
        <is>
          <t>flagger-scan</t>
        </is>
      </c>
      <c r="B6" s="51" t="n">
        <v>0.12</v>
      </c>
      <c r="C6" s="52">
        <f>B6*Derived!$B$4</f>
        <v/>
      </c>
      <c r="D6" s="52">
        <f>C6/Assumptions!$B$12</f>
        <v/>
      </c>
      <c r="E6" s="53">
        <f>D6*Assumptions!$B$17</f>
        <v/>
      </c>
    </row>
    <row r="7" ht="17.25" customHeight="1">
      <c r="A7" s="50" t="inlineStr">
        <is>
          <t>eval-generation</t>
        </is>
      </c>
      <c r="B7" s="51" t="n">
        <v>0.03</v>
      </c>
      <c r="C7" s="52">
        <f>B7*Derived!$B$4</f>
        <v/>
      </c>
      <c r="D7" s="52">
        <f>C7/Assumptions!$B$14</f>
        <v/>
      </c>
      <c r="E7" s="53">
        <f>D7*Assumptions!$B$19</f>
        <v/>
      </c>
    </row>
    <row r="8" ht="17.25" customHeight="1">
      <c r="A8" s="50" t="inlineStr">
        <is>
          <t>Σ allocation %</t>
        </is>
      </c>
      <c r="B8" s="54">
        <f>SUM(B4:B7)</f>
        <v/>
      </c>
      <c r="C8" s="24" t="n"/>
      <c r="D8" s="24" t="n"/>
      <c r="E8" s="53">
        <f>SUM(E4:E7)</f>
        <v/>
      </c>
    </row>
    <row r="9" ht="17.25" customHeight="1">
      <c r="A9" s="45" t="n"/>
      <c r="B9" s="48" t="n"/>
      <c r="C9" s="24" t="n"/>
      <c r="D9" s="24" t="n"/>
      <c r="E9" s="59" t="n"/>
    </row>
    <row r="10" ht="17.25" customHeight="1">
      <c r="A10" s="50" t="inlineStr">
        <is>
          <t>Voyage spend (capped)</t>
        </is>
      </c>
      <c r="B10" s="48" t="n"/>
      <c r="C10" s="24" t="n"/>
      <c r="D10" s="24" t="n"/>
      <c r="E10" s="53">
        <f>MIN(D4*Assumptions!$B$22/1000000*Assumptions!$B$21,Derived!$B$11)</f>
        <v/>
      </c>
    </row>
    <row r="11" ht="17.25" customHeight="1">
      <c r="A11" s="50" t="inlineStr">
        <is>
          <t>Fixed infra share</t>
        </is>
      </c>
      <c r="B11" s="48" t="n"/>
      <c r="C11" s="24" t="n"/>
      <c r="D11" s="24" t="n"/>
      <c r="E11" s="55">
        <f>Assumptions!$B$9</f>
        <v/>
      </c>
    </row>
    <row r="12" ht="17.25" customHeight="1">
      <c r="A12" s="45" t="n"/>
      <c r="B12" s="48" t="n"/>
      <c r="C12" s="24" t="n"/>
      <c r="D12" s="24" t="n"/>
      <c r="E12" s="59" t="n"/>
    </row>
    <row r="13" ht="17.25" customHeight="1">
      <c r="A13" s="50" t="inlineStr">
        <is>
          <t>TOTAL COGS</t>
        </is>
      </c>
      <c r="B13" s="48" t="n"/>
      <c r="C13" s="24" t="n"/>
      <c r="D13" s="24" t="n"/>
      <c r="E13" s="55">
        <f>SUM(E4:E7)+E10+E11</f>
        <v/>
      </c>
    </row>
    <row r="14" ht="17.25" customHeight="1">
      <c r="A14" s="50" t="inlineStr">
        <is>
          <t>Revenue</t>
        </is>
      </c>
      <c r="B14" s="48" t="n"/>
      <c r="C14" s="24" t="n"/>
      <c r="D14" s="24" t="n"/>
      <c r="E14" s="55">
        <f>Assumptions!$B$4</f>
        <v/>
      </c>
    </row>
    <row r="15" ht="17.25" customHeight="1">
      <c r="A15" s="50" t="inlineStr">
        <is>
          <t>Gross profit</t>
        </is>
      </c>
      <c r="B15" s="48" t="n"/>
      <c r="C15" s="24" t="n"/>
      <c r="D15" s="24" t="n"/>
      <c r="E15" s="56">
        <f>E14-E13</f>
        <v/>
      </c>
    </row>
    <row r="16" ht="17.25" customHeight="1">
      <c r="A16" s="50" t="inlineStr">
        <is>
          <t>Gross margin</t>
        </is>
      </c>
      <c r="B16" s="48" t="n"/>
      <c r="C16" s="24" t="n"/>
      <c r="D16" s="24" t="n"/>
      <c r="E16" s="57">
        <f>(E14-E13)/E14</f>
        <v/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C18"/>
  <sheetViews>
    <sheetView workbookViewId="0">
      <selection activeCell="A1" sqref="A1"/>
    </sheetView>
  </sheetViews>
  <sheetFormatPr baseColWidth="8" defaultRowHeight="15"/>
  <cols>
    <col width="32.005" bestFit="1" customWidth="1" style="45" min="1" max="1"/>
    <col width="50.005" bestFit="1" customWidth="1" style="45" min="2" max="2"/>
    <col width="30.005" bestFit="1" customWidth="1" style="45" min="3" max="3"/>
  </cols>
  <sheetData>
    <row r="1" ht="17.25" customHeight="1">
      <c r="A1" s="41" t="inlineStr">
        <is>
          <t>WHERE THESE NUMBERS LIVE IN THE CODEBASE</t>
        </is>
      </c>
    </row>
    <row r="2" ht="17.25" customHeight="1">
      <c r="A2" s="45" t="n"/>
      <c r="B2" s="45" t="n"/>
      <c r="C2" s="45" t="n"/>
    </row>
    <row r="3" ht="17.25" customHeight="1">
      <c r="A3" s="43" t="inlineStr">
        <is>
          <t>Concept</t>
        </is>
      </c>
      <c r="B3" s="43" t="inlineStr">
        <is>
          <t>Source file</t>
        </is>
      </c>
      <c r="C3" s="43" t="inlineStr">
        <is>
          <t>Symbol</t>
        </is>
      </c>
    </row>
    <row r="4" ht="17.25" customHeight="1">
      <c r="A4" s="70" t="inlineStr">
        <is>
          <t>Credits per action</t>
        </is>
      </c>
      <c r="B4" s="70" t="inlineStr">
        <is>
          <t>packages/domain/billing/src/constants.ts</t>
        </is>
      </c>
      <c r="C4" s="70" t="inlineStr">
        <is>
          <t>ACTION_CREDITS</t>
        </is>
      </c>
    </row>
    <row r="5" ht="17.25" customHeight="1">
      <c r="A5" s="70" t="inlineStr">
        <is>
          <t>Chargeable actions</t>
        </is>
      </c>
      <c r="B5" s="70" t="inlineStr">
        <is>
          <t>packages/domain/billing/src/constants.ts</t>
        </is>
      </c>
      <c r="C5" s="70" t="inlineStr">
        <is>
          <t>CHARGEABLE_ACTIONS</t>
        </is>
      </c>
    </row>
    <row r="6" ht="17.25" customHeight="1">
      <c r="A6" s="70" t="inlineStr">
        <is>
          <t>Free plan config</t>
        </is>
      </c>
      <c r="B6" s="70" t="inlineStr">
        <is>
          <t>packages/domain/billing/src/constants.ts</t>
        </is>
      </c>
      <c r="C6" s="70" t="inlineStr">
        <is>
          <t>FREE_PLAN_CONFIG</t>
        </is>
      </c>
    </row>
    <row r="7" ht="17.25" customHeight="1">
      <c r="A7" s="70" t="inlineStr">
        <is>
          <t>Pro plan config</t>
        </is>
      </c>
      <c r="B7" s="70" t="inlineStr">
        <is>
          <t>packages/domain/billing/src/constants.ts</t>
        </is>
      </c>
      <c r="C7" s="70" t="inlineStr">
        <is>
          <t>PRO_PLAN_CONFIG</t>
        </is>
      </c>
    </row>
    <row r="8" ht="17.25" customHeight="1">
      <c r="A8" s="70" t="inlineStr">
        <is>
          <t>Enterprise plan config</t>
        </is>
      </c>
      <c r="B8" s="70" t="inlineStr">
        <is>
          <t>packages/domain/billing/src/constants.ts</t>
        </is>
      </c>
      <c r="C8" s="70" t="inlineStr">
        <is>
          <t>ENTERPRISE_PLAN_CONFIG</t>
        </is>
      </c>
    </row>
    <row r="9" ht="17.25" customHeight="1">
      <c r="A9" s="70" t="inlineStr">
        <is>
          <t>Trace usage recording</t>
        </is>
      </c>
      <c r="B9" s="70" t="inlineStr">
        <is>
          <t>packages/domain/billing/src/use-cases/record-trace-usage-batch.ts</t>
        </is>
      </c>
      <c r="C9" s="70" t="inlineStr">
        <is>
          <t>recordTraceUsageBatch</t>
        </is>
      </c>
    </row>
    <row r="10" ht="17.25" customHeight="1">
      <c r="A10" s="70" t="inlineStr">
        <is>
          <t>Bedrock/Anthropic pricing</t>
        </is>
      </c>
      <c r="B10" s="70" t="inlineStr">
        <is>
          <t>packages/domain/models/src/data/models.dev.json</t>
        </is>
      </c>
      <c r="C10" s="70" t="inlineStr">
        <is>
          <t>input/output (USD per 1M tokens)</t>
        </is>
      </c>
    </row>
    <row r="11" ht="17.25" customHeight="1">
      <c r="A11" s="70" t="inlineStr">
        <is>
          <t>Cost computation</t>
        </is>
      </c>
      <c r="B11" s="70" t="inlineStr">
        <is>
          <t>packages/domain/models/src/entities/cost.ts</t>
        </is>
      </c>
      <c r="C11" s="70" t="inlineStr">
        <is>
          <t>estimateTotalCost / computeTokenCost</t>
        </is>
      </c>
    </row>
    <row r="12" ht="17.25" customHeight="1">
      <c r="A12" s="70" t="inlineStr">
        <is>
          <t>Embedding budget caps</t>
        </is>
      </c>
      <c r="B12" s="70" t="inlineStr">
        <is>
          <t>packages/domain/spans/src/constants.ts</t>
        </is>
      </c>
      <c r="C12" s="70" t="inlineStr">
        <is>
          <t>EmbedBudgetResolver (5B tokens/month/org)</t>
        </is>
      </c>
    </row>
    <row r="13" ht="17.25" customHeight="1">
      <c r="A13" s="70" t="inlineStr">
        <is>
          <t>Voyage embedding provider</t>
        </is>
      </c>
      <c r="B13" s="70" t="inlineStr">
        <is>
          <t>packages/platform/ai-voyage/src/ai.ts</t>
        </is>
      </c>
      <c r="C13" s="70" t="inlineStr">
        <is>
          <t>voyage-4-large</t>
        </is>
      </c>
    </row>
    <row r="14" ht="17.25" customHeight="1">
      <c r="A14" s="70" t="inlineStr">
        <is>
          <t>Flagger workflow</t>
        </is>
      </c>
      <c r="B14" s="70" t="inlineStr">
        <is>
          <t>apps/workflows/src/workflows/flagger-workflow.ts</t>
        </is>
      </c>
      <c r="C14" s="70" t="inlineStr">
        <is>
          <t>flaggerWorkflow</t>
        </is>
      </c>
    </row>
    <row r="15" ht="17.25" customHeight="1">
      <c r="A15" s="70" t="inlineStr">
        <is>
          <t>Live evaluations worker</t>
        </is>
      </c>
      <c r="B15" s="70" t="inlineStr">
        <is>
          <t>apps/workers/src/workers/live-evaluations.ts</t>
        </is>
      </c>
      <c r="C15" s="70" t="inlineStr">
        <is>
          <t>BullMQ live-evaluations:execute</t>
        </is>
      </c>
    </row>
    <row r="16" ht="17.25" customHeight="1">
      <c r="A16" s="70" t="inlineStr">
        <is>
          <t>Eval optimization (GEPA)</t>
        </is>
      </c>
      <c r="B16" s="70" t="inlineStr">
        <is>
          <t>apps/workflows/src/workflows/optimize-evaluation-workflow.ts</t>
        </is>
      </c>
      <c r="C16" s="70" t="inlineStr">
        <is>
          <t>optimizeEvaluationWorkflow</t>
        </is>
      </c>
    </row>
    <row r="17" ht="17.25" customHeight="1">
      <c r="A17" s="70" t="inlineStr">
        <is>
          <t>Billing tables schema</t>
        </is>
      </c>
      <c r="B17" s="70" t="inlineStr">
        <is>
          <t>packages/platform/db-postgres/src/schema/billing.ts</t>
        </is>
      </c>
      <c r="C17" s="70" t="inlineStr">
        <is>
          <t>billing_usage_events / billing_usage_periods</t>
        </is>
      </c>
    </row>
    <row r="18" ht="17.25" customHeight="1">
      <c r="A18" s="70" t="inlineStr">
        <is>
          <t>Billing docs</t>
        </is>
      </c>
      <c r="B18" s="70" t="inlineStr">
        <is>
          <t>dev-docs/billing.md</t>
        </is>
      </c>
      <c r="C18" s="70" t="inlineStr">
        <is>
          <t>—</t>
        </is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I46"/>
  <sheetViews>
    <sheetView workbookViewId="0">
      <pane xSplit="0" ySplit="3" topLeftCell="A4" activePane="bottomLeft" state="frozen"/>
      <selection activeCell="A1" sqref="A1"/>
    </sheetView>
  </sheetViews>
  <sheetFormatPr baseColWidth="8" defaultRowHeight="15"/>
  <cols>
    <col width="22.005" bestFit="1" customWidth="1" style="24" min="1" max="1"/>
    <col width="30.005" bestFit="1" customWidth="1" style="24" min="2" max="2"/>
    <col width="18.005" bestFit="1" customWidth="1" style="24" min="3" max="3"/>
    <col width="14.005" bestFit="1" customWidth="1" style="24" min="4" max="4"/>
    <col width="16.005" bestFit="1" customWidth="1" style="24" min="5" max="5"/>
    <col width="16.005" bestFit="1" customWidth="1" style="40" min="6" max="6"/>
    <col width="14.005" bestFit="1" customWidth="1" style="40" min="7" max="7"/>
    <col width="14.005" bestFit="1" customWidth="1" style="40" min="8" max="8"/>
    <col width="40.005" bestFit="1" customWidth="1" style="24" min="9" max="9"/>
  </cols>
  <sheetData>
    <row r="1" ht="17.25" customHeight="1">
      <c r="A1" s="1" t="inlineStr">
        <is>
          <t>FEATURE-BY-FEATURE COST BREAKDOWN</t>
        </is>
      </c>
    </row>
    <row r="2" ht="17.25" customHeight="1">
      <c r="A2" s="24" t="n"/>
      <c r="B2" s="24" t="n"/>
      <c r="C2" s="24" t="n"/>
      <c r="D2" s="24" t="n"/>
      <c r="E2" s="24" t="n"/>
      <c r="F2" s="40" t="n"/>
      <c r="G2" s="40" t="n"/>
      <c r="H2" s="40" t="n"/>
      <c r="I2" s="24" t="n"/>
    </row>
    <row r="3" ht="30" customFormat="1" customHeight="1" s="5">
      <c r="A3" s="8" t="inlineStr">
        <is>
          <t>Feature</t>
        </is>
      </c>
      <c r="B3" s="8" t="inlineStr">
        <is>
          <t>Description</t>
        </is>
      </c>
      <c r="C3" s="8" t="inlineStr">
        <is>
          <t>Trigger / Path</t>
        </is>
      </c>
      <c r="D3" s="8" t="inlineStr">
        <is>
          <t>Credits</t>
        </is>
      </c>
      <c r="E3" s="8" t="inlineStr">
        <is>
          <t>Sale $/op</t>
        </is>
      </c>
      <c r="F3" s="28" t="inlineStr">
        <is>
          <t>Real cost/op</t>
        </is>
      </c>
      <c r="G3" s="28" t="inlineStr">
        <is>
          <t>Typical/mo</t>
        </is>
      </c>
      <c r="H3" s="28" t="inlineStr">
        <is>
          <t>Max/mo</t>
        </is>
      </c>
      <c r="I3" s="8" t="inlineStr">
        <is>
          <t>Notes</t>
        </is>
      </c>
    </row>
    <row r="4" ht="17.25" customHeight="1">
      <c r="A4" s="29" t="inlineStr">
        <is>
          <t>── INGESTION ──</t>
        </is>
      </c>
      <c r="B4" s="84" t="n"/>
      <c r="C4" s="84" t="n"/>
      <c r="D4" s="84" t="n"/>
      <c r="E4" s="84" t="n"/>
      <c r="F4" s="84" t="n"/>
      <c r="G4" s="84" t="n"/>
      <c r="H4" s="84" t="n"/>
      <c r="I4" s="85" t="n"/>
    </row>
    <row r="5" ht="45" customHeight="1">
      <c r="A5" s="10" t="inlineStr">
        <is>
          <t>Trace ingestion</t>
        </is>
      </c>
      <c r="B5" s="15" t="inlineStr">
        <is>
          <t>OTLP spans batched into a trace; written to ClickHouse + S3 (&gt;50KB)</t>
        </is>
      </c>
      <c r="C5" s="15" t="inlineStr">
        <is>
          <t>POST /v1/traces → BullMQ span-ingestion (50 workers)</t>
        </is>
      </c>
      <c r="D5" s="11">
        <f>Assumptions!$B$11</f>
        <v/>
      </c>
      <c r="E5" s="30">
        <f>Assumptions!$B$11*Assumptions!$B$5</f>
        <v/>
      </c>
      <c r="F5" s="30">
        <f>Assumptions!$B$16</f>
        <v/>
      </c>
      <c r="G5" s="11" t="n">
        <v>500000</v>
      </c>
      <c r="H5" s="11" t="n">
        <v>4500000</v>
      </c>
      <c r="I5" s="15" t="inlineStr">
        <is>
          <t>Voyage embedding auto-runs as side-effect (see below)</t>
        </is>
      </c>
    </row>
    <row r="6" ht="45" customHeight="1">
      <c r="A6" s="10" t="inlineStr">
        <is>
          <t>Span storage (CH)</t>
        </is>
      </c>
      <c r="B6" s="15" t="inlineStr">
        <is>
          <t>Per-span row in ClickHouse spans table, ~2-5KB each</t>
        </is>
      </c>
      <c r="C6" s="15" t="inlineStr">
        <is>
          <t>Synchronous on every ingest</t>
        </is>
      </c>
      <c r="D6" s="31" t="inlineStr">
        <is>
          <t>—</t>
        </is>
      </c>
      <c r="E6" s="31" t="inlineStr">
        <is>
          <t>—</t>
        </is>
      </c>
      <c r="F6" s="32" t="inlineStr">
        <is>
          <t>—</t>
        </is>
      </c>
      <c r="G6" s="11" t="n">
        <v>100000000</v>
      </c>
      <c r="H6" s="11" t="n">
        <v>500000000</v>
      </c>
      <c r="I6" s="15" t="inlineStr">
        <is>
          <t>Rolled into trace ingestion cost — every trace already pays for its spans' CH write + storage</t>
        </is>
      </c>
    </row>
    <row r="7" ht="45" customHeight="1">
      <c r="A7" s="10" t="inlineStr">
        <is>
          <t>S3 payload storage</t>
        </is>
      </c>
      <c r="B7" s="15" t="inlineStr">
        <is>
          <t>Raw OTLP payloads &gt;50KB stored in latitude-{env}-spans bucket</t>
        </is>
      </c>
      <c r="C7" s="15" t="inlineStr">
        <is>
          <t>On ingest if payload exceeds inline limit</t>
        </is>
      </c>
      <c r="D7" s="31" t="inlineStr">
        <is>
          <t>—</t>
        </is>
      </c>
      <c r="E7" s="31" t="inlineStr">
        <is>
          <t>—</t>
        </is>
      </c>
      <c r="F7" s="33" t="n">
        <v>1e-05</v>
      </c>
      <c r="G7" s="11" t="n">
        <v>50</v>
      </c>
      <c r="H7" s="11" t="n">
        <v>5000</v>
      </c>
      <c r="I7" s="15" t="inlineStr">
        <is>
          <t>PUT request + ~100KB × $0.023/GB × 90d ≈ $0.00001/payload. Rare — only &gt;50KB payloads</t>
        </is>
      </c>
    </row>
    <row r="8" ht="17.25" customHeight="1">
      <c r="A8" s="29" t="inlineStr">
        <is>
          <t>── EMBEDDINGS &amp; SEARCH ──</t>
        </is>
      </c>
      <c r="B8" s="84" t="n"/>
      <c r="C8" s="84" t="n"/>
      <c r="D8" s="84" t="n"/>
      <c r="E8" s="84" t="n"/>
      <c r="F8" s="84" t="n"/>
      <c r="G8" s="84" t="n"/>
      <c r="H8" s="84" t="n"/>
      <c r="I8" s="85" t="n"/>
    </row>
    <row r="9" ht="45" customHeight="1">
      <c r="A9" s="10" t="inlineStr">
        <is>
          <t>Voyage embedding</t>
        </is>
      </c>
      <c r="B9" s="15" t="inlineStr">
        <is>
          <t>voyage-4-large, 2048-dim, ~500-token chunks of conversation</t>
        </is>
      </c>
      <c r="C9" s="15" t="inlineStr">
        <is>
          <t>Side-effect of trace ingestion (budget-gated)</t>
        </is>
      </c>
      <c r="D9" s="31" t="inlineStr">
        <is>
          <t>—</t>
        </is>
      </c>
      <c r="E9" s="31" t="inlineStr">
        <is>
          <t>—</t>
        </is>
      </c>
      <c r="F9" s="30">
        <f>Assumptions!$B$22/1000000*Assumptions!$B$21</f>
        <v/>
      </c>
      <c r="G9" s="11" t="n">
        <v>500000</v>
      </c>
      <c r="H9" s="11" t="n">
        <v>2000000</v>
      </c>
      <c r="I9" s="15" t="inlineStr">
        <is>
          <t>HARD CAP: 5B tokens/org/month via EmbedBudgetResolver = $600 max</t>
        </is>
      </c>
    </row>
    <row r="10" ht="45" customHeight="1">
      <c r="A10" s="10" t="inlineStr">
        <is>
          <t>Embedding storage (CH)</t>
        </is>
      </c>
      <c r="B10" s="15" t="inlineStr">
        <is>
          <t>trace_search_embeddings table; 2048 floats ≈ 8KB per chunk</t>
        </is>
      </c>
      <c r="C10" s="15" t="inlineStr">
        <is>
          <t>30-day TTL on ClickHouse table</t>
        </is>
      </c>
      <c r="D10" s="31" t="inlineStr">
        <is>
          <t>—</t>
        </is>
      </c>
      <c r="E10" s="31" t="inlineStr">
        <is>
          <t>—</t>
        </is>
      </c>
      <c r="F10" s="32" t="inlineStr">
        <is>
          <t>—</t>
        </is>
      </c>
      <c r="G10" s="11" t="n">
        <v>2000000</v>
      </c>
      <c r="H10" s="11" t="n">
        <v>8000000</v>
      </c>
      <c r="I10" s="15" t="inlineStr">
        <is>
          <t>8KB/chunk × $0.08/GB × 30d TTL ≈ $0.0000006/chunk — folded into CH storage rollup line</t>
        </is>
      </c>
    </row>
    <row r="11" ht="45" customHeight="1">
      <c r="A11" s="10" t="inlineStr">
        <is>
          <t>Lexical docs (CH)</t>
        </is>
      </c>
      <c r="B11" s="15" t="inlineStr">
        <is>
          <t>trace_search_documents — full-text search via BM25</t>
        </is>
      </c>
      <c r="C11" s="15" t="inlineStr">
        <is>
          <t>Same trigger as embeddings, no API cost</t>
        </is>
      </c>
      <c r="D11" s="31" t="inlineStr">
        <is>
          <t>—</t>
        </is>
      </c>
      <c r="E11" s="31" t="inlineStr">
        <is>
          <t>—</t>
        </is>
      </c>
      <c r="F11" s="32" t="inlineStr">
        <is>
          <t>—</t>
        </is>
      </c>
      <c r="G11" s="11" t="n">
        <v>2000000</v>
      </c>
      <c r="H11" s="11" t="n">
        <v>8000000</v>
      </c>
      <c r="I11" s="15" t="inlineStr">
        <is>
          <t>1.5KB/chunk × $0.08/GB × 90d TTL ≈ $0.00000036/chunk + CH BM25 compute share — folded into CH storage + fixed-infra lines</t>
        </is>
      </c>
    </row>
    <row r="12" ht="17.25" customHeight="1">
      <c r="A12" s="29" t="inlineStr">
        <is>
          <t>── EVALUATIONS ──</t>
        </is>
      </c>
      <c r="B12" s="84" t="n"/>
      <c r="C12" s="84" t="n"/>
      <c r="D12" s="84" t="n"/>
      <c r="E12" s="84" t="n"/>
      <c r="F12" s="84" t="n"/>
      <c r="G12" s="84" t="n"/>
      <c r="H12" s="84" t="n"/>
      <c r="I12" s="85" t="n"/>
    </row>
    <row r="13" ht="45" customHeight="1">
      <c r="A13" s="10" t="inlineStr">
        <is>
          <t>Live eval execution</t>
        </is>
      </c>
      <c r="B13" s="15" t="inlineStr">
        <is>
          <t>LLM-as-judge runs eval script against trace; minimax-m2.5</t>
        </is>
      </c>
      <c r="C13" s="15" t="inlineStr">
        <is>
          <t>BullMQ live-evaluations:execute (50 workers, sampling-aware)</t>
        </is>
      </c>
      <c r="D13" s="11">
        <f>Assumptions!$B$13</f>
        <v/>
      </c>
      <c r="E13" s="30">
        <f>Assumptions!$B$13*Assumptions!$B$5</f>
        <v/>
      </c>
      <c r="F13" s="30">
        <f>Assumptions!$B$18</f>
        <v/>
      </c>
      <c r="G13" s="11" t="n">
        <v>50000</v>
      </c>
      <c r="H13" s="11" t="n">
        <v>150000</v>
      </c>
      <c r="I13" s="15" t="inlineStr">
        <is>
          <t>1 Bedrock call per matched trace, ~1K tokens, low temperature</t>
        </is>
      </c>
    </row>
    <row r="14" ht="45" customHeight="1">
      <c r="A14" s="10" t="inlineStr">
        <is>
          <t>Eval generation (GEPA)</t>
        </is>
      </c>
      <c r="B14" s="15" t="inlineStr">
        <is>
          <t>Auto-optimize eval script via GEPA; 100 examples × N candidates</t>
        </is>
      </c>
      <c r="C14" s="15" t="inlineStr">
        <is>
          <t>Temporal optimizeEvaluationWorkflow (1h activity)</t>
        </is>
      </c>
      <c r="D14" s="11">
        <f>Assumptions!$B$14</f>
        <v/>
      </c>
      <c r="E14" s="30">
        <f>Assumptions!$B$14*Assumptions!$B$5</f>
        <v/>
      </c>
      <c r="F14" s="30">
        <f>Assumptions!$B$19</f>
        <v/>
      </c>
      <c r="G14" s="11" t="n">
        <v>20</v>
      </c>
      <c r="H14" s="11" t="n">
        <v>100</v>
      </c>
      <c r="I14" s="15" t="inlineStr">
        <is>
          <t>REQUIRES ISSUES (which require traces) — natural gating</t>
        </is>
      </c>
    </row>
    <row r="15" ht="45" customHeight="1">
      <c r="A15" s="10" t="inlineStr">
        <is>
          <t>Eval alignment refresh</t>
        </is>
      </c>
      <c r="B15" s="15" t="inlineStr">
        <is>
          <t>Re-score curated examples to update confusion matrix</t>
        </is>
      </c>
      <c r="C15" s="15" t="inlineStr">
        <is>
          <t>Manual API call OR hourly sweep — Temporal workflow</t>
        </is>
      </c>
      <c r="D15" s="31" t="inlineStr">
        <is>
          <t>—</t>
        </is>
      </c>
      <c r="E15" s="31" t="inlineStr">
        <is>
          <t>—</t>
        </is>
      </c>
      <c r="F15" s="30" t="n">
        <v>0.1</v>
      </c>
      <c r="G15" s="11" t="n">
        <v>10</v>
      </c>
      <c r="H15" s="11" t="n">
        <v>50</v>
      </c>
      <c r="I15" s="15" t="inlineStr">
        <is>
          <t>Cost folded into eval-generation; ~100 examples × $0.001 ≈ $0.10/run</t>
        </is>
      </c>
    </row>
    <row r="16" ht="17.25" customHeight="1">
      <c r="A16" s="29" t="inlineStr">
        <is>
          <t>── FLAGGERS ──</t>
        </is>
      </c>
      <c r="B16" s="84" t="n"/>
      <c r="C16" s="84" t="n"/>
      <c r="D16" s="84" t="n"/>
      <c r="E16" s="84" t="n"/>
      <c r="F16" s="84" t="n"/>
      <c r="G16" s="84" t="n"/>
      <c r="H16" s="84" t="n"/>
      <c r="I16" s="85" t="n"/>
    </row>
    <row r="17" ht="45" customHeight="1">
      <c r="A17" s="10" t="inlineStr">
        <is>
          <t>Deterministic flagger</t>
        </is>
      </c>
      <c r="B17" s="15" t="inlineStr">
        <is>
          <t>Pattern matching on trace attributes — no LLM</t>
        </is>
      </c>
      <c r="C17" s="15" t="inlineStr">
        <is>
          <t>Synchronous in trace-end worker</t>
        </is>
      </c>
      <c r="D17" s="31" t="inlineStr">
        <is>
          <t>—</t>
        </is>
      </c>
      <c r="E17" s="31" t="inlineStr">
        <is>
          <t>—</t>
        </is>
      </c>
      <c r="F17" s="32" t="inlineStr">
        <is>
          <t>—</t>
        </is>
      </c>
      <c r="G17" s="11" t="n">
        <v>500000</v>
      </c>
      <c r="H17" s="11" t="n">
        <v>4500000</v>
      </c>
      <c r="I17" s="15" t="inlineStr">
        <is>
          <t>Pure CPU on existing ECS worker — no marginal cost; absorbed by fixed infra share</t>
        </is>
      </c>
    </row>
    <row r="18" ht="45" customHeight="1">
      <c r="A18" s="10" t="inlineStr">
        <is>
          <t>Flagger LLM scan</t>
        </is>
      </c>
      <c r="B18" s="15" t="inlineStr">
        <is>
          <t>2× Bedrock calls (classify + annotate) when matched</t>
        </is>
      </c>
      <c r="C18" s="15" t="inlineStr">
        <is>
          <t>Temporal flaggerWorkflow (rate-limited 30/60s/project)</t>
        </is>
      </c>
      <c r="D18" s="11">
        <f>Assumptions!$B$12</f>
        <v/>
      </c>
      <c r="E18" s="30">
        <f>Assumptions!$B$12*Assumptions!$B$5</f>
        <v/>
      </c>
      <c r="F18" s="30">
        <f>Assumptions!$B$17</f>
        <v/>
      </c>
      <c r="G18" s="11" t="n">
        <v>30000</v>
      </c>
      <c r="H18" s="11" t="n">
        <v>150000</v>
      </c>
      <c r="I18" s="15" t="inlineStr">
        <is>
          <t>Default sampling 10%; both temp=0/0.2, max 2048 tokens</t>
        </is>
      </c>
    </row>
    <row r="19" ht="17.25" customHeight="1">
      <c r="A19" s="29" t="inlineStr">
        <is>
          <t>── ISSUES &amp; CLUSTERING ──</t>
        </is>
      </c>
      <c r="B19" s="84" t="n"/>
      <c r="C19" s="84" t="n"/>
      <c r="D19" s="84" t="n"/>
      <c r="E19" s="84" t="n"/>
      <c r="F19" s="84" t="n"/>
      <c r="G19" s="84" t="n"/>
      <c r="H19" s="84" t="n"/>
      <c r="I19" s="85" t="n"/>
    </row>
    <row r="20" ht="45" customHeight="1">
      <c r="A20" s="10" t="inlineStr">
        <is>
          <t>Issue discovery</t>
        </is>
      </c>
      <c r="B20" s="15" t="inlineStr">
        <is>
          <t>Cluster traces into issues using centroid embeddings</t>
        </is>
      </c>
      <c r="C20" s="15" t="inlineStr">
        <is>
          <t>Temporal issueDiscoveryWorkflow on TracesIngested event</t>
        </is>
      </c>
      <c r="D20" s="31" t="inlineStr">
        <is>
          <t>—</t>
        </is>
      </c>
      <c r="E20" s="31" t="inlineStr">
        <is>
          <t>—</t>
        </is>
      </c>
      <c r="F20" s="33" t="n">
        <v>0.0003</v>
      </c>
      <c r="G20" s="11" t="n">
        <v>50</v>
      </c>
      <c r="H20" s="11" t="n">
        <v>4500</v>
      </c>
      <c r="I20" s="15" t="inlineStr">
        <is>
          <t>Temporal Cloud actions (~10-20 per workflow × $25/1M) + Postgres writes — small but non-zero</t>
        </is>
      </c>
    </row>
    <row r="21" ht="45" customHeight="1">
      <c r="A21" s="10" t="inlineStr">
        <is>
          <t>Issue centroid update</t>
        </is>
      </c>
      <c r="B21" s="15" t="inlineStr">
        <is>
          <t>Running-sum of embeddings with 14-day half-life decay</t>
        </is>
      </c>
      <c r="C21" s="15" t="inlineStr">
        <is>
          <t>On every score assignment to issue</t>
        </is>
      </c>
      <c r="D21" s="31" t="inlineStr">
        <is>
          <t>—</t>
        </is>
      </c>
      <c r="E21" s="31" t="inlineStr">
        <is>
          <t>—</t>
        </is>
      </c>
      <c r="F21" s="32" t="inlineStr">
        <is>
          <t>—</t>
        </is>
      </c>
      <c r="G21" s="11" t="n">
        <v>1000</v>
      </c>
      <c r="H21" s="11" t="n">
        <v>50000</v>
      </c>
      <c r="I21" s="15" t="inlineStr">
        <is>
          <t>Postgres JSONB write only — absorbed by Aurora share in fixed infra; no Voyage call</t>
        </is>
      </c>
    </row>
    <row r="22" ht="17.25" customHeight="1">
      <c r="A22" s="29" t="inlineStr">
        <is>
          <t>── STORAGE ──</t>
        </is>
      </c>
      <c r="B22" s="84" t="n"/>
      <c r="C22" s="84" t="n"/>
      <c r="D22" s="84" t="n"/>
      <c r="E22" s="84" t="n"/>
      <c r="F22" s="84" t="n"/>
      <c r="G22" s="84" t="n"/>
      <c r="H22" s="84" t="n"/>
      <c r="I22" s="85" t="n"/>
    </row>
    <row r="23" ht="45" customHeight="1">
      <c r="A23" s="10" t="inlineStr">
        <is>
          <t>ClickHouse (spans+traces)</t>
        </is>
      </c>
      <c r="B23" s="15" t="inlineStr">
        <is>
          <t>Primary OLAP store for all telemetry</t>
        </is>
      </c>
      <c r="C23" s="15" t="inlineStr">
        <is>
          <t>EBS gp3 storage, 365-day retention on enterprise</t>
        </is>
      </c>
      <c r="D23" s="31" t="inlineStr">
        <is>
          <t>—</t>
        </is>
      </c>
      <c r="E23" s="31" t="inlineStr">
        <is>
          <t>—</t>
        </is>
      </c>
      <c r="F23" s="30" t="n">
        <v>0.08</v>
      </c>
      <c r="G23" s="11" t="n">
        <v>500</v>
      </c>
      <c r="H23" s="11" t="n">
        <v>2500</v>
      </c>
      <c r="I23" s="15" t="inlineStr">
        <is>
          <t>GB/month; ~$0.08/GB on EBS — bundled into ECS bill</t>
        </is>
      </c>
    </row>
    <row r="24" ht="45" customHeight="1">
      <c r="A24" s="10" t="inlineStr">
        <is>
          <t>ClickHouse (scores)</t>
        </is>
      </c>
      <c r="B24" s="15" t="inlineStr">
        <is>
          <t>score_analytics table — eval/annotation results</t>
        </is>
      </c>
      <c r="C24" s="15" t="inlineStr">
        <is>
          <t>Synchronous write on every eval run</t>
        </is>
      </c>
      <c r="D24" s="31" t="inlineStr">
        <is>
          <t>—</t>
        </is>
      </c>
      <c r="E24" s="31" t="inlineStr">
        <is>
          <t>—</t>
        </is>
      </c>
      <c r="F24" s="30" t="n">
        <v>0.08</v>
      </c>
      <c r="G24" s="11" t="n">
        <v>50</v>
      </c>
      <c r="H24" s="11" t="n">
        <v>500</v>
      </c>
      <c r="I24" s="15" t="inlineStr">
        <is>
          <t>GB/month; small relative to traces</t>
        </is>
      </c>
    </row>
    <row r="25" ht="45" customHeight="1">
      <c r="A25" s="10" t="inlineStr">
        <is>
          <t>Postgres (metadata)</t>
        </is>
      </c>
      <c r="B25" s="15" t="inlineStr">
        <is>
          <t>Eval scripts, flagger configs, issues, billing events</t>
        </is>
      </c>
      <c r="C25" s="15" t="inlineStr">
        <is>
          <t>RLS-enforced multi-tenant Aurora Serverless</t>
        </is>
      </c>
      <c r="D25" s="31" t="inlineStr">
        <is>
          <t>—</t>
        </is>
      </c>
      <c r="E25" s="31" t="inlineStr">
        <is>
          <t>—</t>
        </is>
      </c>
      <c r="F25" s="30" t="n">
        <v>0.15</v>
      </c>
      <c r="G25" s="11" t="n">
        <v>5</v>
      </c>
      <c r="H25" s="11" t="n">
        <v>50</v>
      </c>
      <c r="I25" s="15" t="inlineStr">
        <is>
          <t>GB/month; metadata only — small but always-on</t>
        </is>
      </c>
    </row>
    <row r="26" ht="17.25" customHeight="1">
      <c r="A26" s="29" t="inlineStr">
        <is>
          <t>── FIXED INFRA (per-customer share) ──</t>
        </is>
      </c>
      <c r="B26" s="84" t="n"/>
      <c r="C26" s="84" t="n"/>
      <c r="D26" s="84" t="n"/>
      <c r="E26" s="84" t="n"/>
      <c r="F26" s="84" t="n"/>
      <c r="G26" s="84" t="n"/>
      <c r="H26" s="84" t="n"/>
      <c r="I26" s="85" t="n"/>
    </row>
    <row r="27" ht="30" customHeight="1">
      <c r="A27" s="10" t="inlineStr">
        <is>
          <t>ECS Fargate (5 services)</t>
        </is>
      </c>
      <c r="B27" s="15" t="inlineStr">
        <is>
          <t>web/api/ingest/workers/workflows tasks</t>
        </is>
      </c>
      <c r="C27" s="15" t="inlineStr">
        <is>
          <t>Fixed monthly</t>
        </is>
      </c>
      <c r="D27" s="31" t="inlineStr">
        <is>
          <t>—</t>
        </is>
      </c>
      <c r="E27" s="31" t="inlineStr">
        <is>
          <t>—</t>
        </is>
      </c>
      <c r="F27" s="13" t="n">
        <v>80</v>
      </c>
      <c r="G27" s="34" t="inlineStr">
        <is>
          <t>—</t>
        </is>
      </c>
      <c r="H27" s="34" t="inlineStr">
        <is>
          <t>—</t>
        </is>
      </c>
      <c r="I27" s="15" t="inlineStr">
        <is>
          <t>Amortized across ~20 enterprises</t>
        </is>
      </c>
    </row>
    <row r="28" ht="30" customHeight="1">
      <c r="A28" s="10" t="inlineStr">
        <is>
          <t>NAT Gateway + ALB</t>
        </is>
      </c>
      <c r="B28" s="15" t="inlineStr">
        <is>
          <t>~$32 NAT + $16 ALB baseline</t>
        </is>
      </c>
      <c r="C28" s="15" t="inlineStr">
        <is>
          <t>Fixed monthly</t>
        </is>
      </c>
      <c r="D28" s="31" t="inlineStr">
        <is>
          <t>—</t>
        </is>
      </c>
      <c r="E28" s="31" t="inlineStr">
        <is>
          <t>—</t>
        </is>
      </c>
      <c r="F28" s="13" t="n">
        <v>5</v>
      </c>
      <c r="G28" s="34" t="inlineStr">
        <is>
          <t>—</t>
        </is>
      </c>
      <c r="H28" s="34" t="inlineStr">
        <is>
          <t>—</t>
        </is>
      </c>
      <c r="I28" s="15" t="inlineStr">
        <is>
          <t>Mostly fixed, minor data egress per customer</t>
        </is>
      </c>
    </row>
    <row r="29" ht="30" customHeight="1">
      <c r="A29" s="10" t="inlineStr">
        <is>
          <t>MemoryDB (cache + BullMQ)</t>
        </is>
      </c>
      <c r="B29" s="15" t="inlineStr">
        <is>
          <t>4 nodes × db.t4g.small</t>
        </is>
      </c>
      <c r="C29" s="15" t="inlineStr">
        <is>
          <t>Fixed monthly</t>
        </is>
      </c>
      <c r="D29" s="31" t="inlineStr">
        <is>
          <t>—</t>
        </is>
      </c>
      <c r="E29" s="31" t="inlineStr">
        <is>
          <t>—</t>
        </is>
      </c>
      <c r="F29" s="13" t="n">
        <v>25</v>
      </c>
      <c r="G29" s="34" t="inlineStr">
        <is>
          <t>—</t>
        </is>
      </c>
      <c r="H29" s="34" t="inlineStr">
        <is>
          <t>—</t>
        </is>
      </c>
      <c r="I29" s="15" t="inlineStr">
        <is>
          <t>Multi-AZ Redis 7</t>
        </is>
      </c>
    </row>
    <row r="30" ht="30" customHeight="1">
      <c r="A30" s="10" t="inlineStr">
        <is>
          <t>Aurora Serverless v2</t>
        </is>
      </c>
      <c r="B30" s="15" t="inlineStr">
        <is>
          <t>0.5–2 ACU shared cluster</t>
        </is>
      </c>
      <c r="C30" s="15" t="inlineStr">
        <is>
          <t>Fixed monthly</t>
        </is>
      </c>
      <c r="D30" s="31" t="inlineStr">
        <is>
          <t>—</t>
        </is>
      </c>
      <c r="E30" s="31" t="inlineStr">
        <is>
          <t>—</t>
        </is>
      </c>
      <c r="F30" s="13" t="n">
        <v>30</v>
      </c>
      <c r="G30" s="34" t="inlineStr">
        <is>
          <t>—</t>
        </is>
      </c>
      <c r="H30" s="34" t="inlineStr">
        <is>
          <t>—</t>
        </is>
      </c>
      <c r="I30" s="15" t="inlineStr">
        <is>
          <t>Postgres metadata only</t>
        </is>
      </c>
    </row>
    <row r="31" ht="30" customHeight="1">
      <c r="A31" s="10" t="inlineStr">
        <is>
          <t>CloudWatch + Datadog</t>
        </is>
      </c>
      <c r="B31" s="15" t="inlineStr">
        <is>
          <t>Log groups, container insights, synthetics</t>
        </is>
      </c>
      <c r="C31" s="15" t="inlineStr">
        <is>
          <t>Fixed monthly</t>
        </is>
      </c>
      <c r="D31" s="31" t="inlineStr">
        <is>
          <t>—</t>
        </is>
      </c>
      <c r="E31" s="31" t="inlineStr">
        <is>
          <t>—</t>
        </is>
      </c>
      <c r="F31" s="13" t="n">
        <v>10</v>
      </c>
      <c r="G31" s="34" t="inlineStr">
        <is>
          <t>—</t>
        </is>
      </c>
      <c r="H31" s="34" t="inlineStr">
        <is>
          <t>—</t>
        </is>
      </c>
      <c r="I31" s="15" t="inlineStr">
        <is>
          <t>Per-service log retention 30d</t>
        </is>
      </c>
    </row>
    <row r="32" ht="30" customHeight="1">
      <c r="A32" s="10" t="inlineStr">
        <is>
          <t>Temporal Cloud</t>
        </is>
      </c>
      <c r="B32" s="15" t="inlineStr">
        <is>
          <t>Action-based pricing, eu-central-1</t>
        </is>
      </c>
      <c r="C32" s="15" t="inlineStr">
        <is>
          <t>Fixed monthly</t>
        </is>
      </c>
      <c r="D32" s="31" t="inlineStr">
        <is>
          <t>—</t>
        </is>
      </c>
      <c r="E32" s="31" t="inlineStr">
        <is>
          <t>—</t>
        </is>
      </c>
      <c r="F32" s="13" t="n">
        <v>30</v>
      </c>
      <c r="G32" s="34" t="inlineStr">
        <is>
          <t>—</t>
        </is>
      </c>
      <c r="H32" s="34" t="inlineStr">
        <is>
          <t>—</t>
        </is>
      </c>
      <c r="I32" s="15" t="inlineStr">
        <is>
          <t>Workflows + activities billing</t>
        </is>
      </c>
    </row>
    <row r="33" ht="17.25" customHeight="1">
      <c r="A33" s="35" t="inlineStr">
        <is>
          <t>Σ Fixed infra share</t>
        </is>
      </c>
      <c r="B33" s="24" t="n"/>
      <c r="C33" s="24" t="n"/>
      <c r="D33" s="24" t="n"/>
      <c r="E33" s="24" t="n"/>
      <c r="F33" s="20">
        <f>SUM(F27:F32)</f>
        <v/>
      </c>
      <c r="G33" s="40" t="n"/>
      <c r="H33" s="40" t="n"/>
      <c r="I33" s="6" t="inlineStr">
        <is>
          <t>Matches 'Fixed infra share / customer' on Assumptions (currently =Assumptions!$B$9)</t>
        </is>
      </c>
    </row>
    <row r="34" ht="17.25" customHeight="1">
      <c r="A34" s="24" t="n"/>
      <c r="B34" s="24" t="n"/>
      <c r="C34" s="24" t="n"/>
      <c r="D34" s="24" t="n"/>
      <c r="E34" s="24" t="n"/>
      <c r="F34" s="40" t="n"/>
      <c r="G34" s="40" t="n"/>
      <c r="H34" s="40" t="n"/>
      <c r="I34" s="24" t="n"/>
    </row>
    <row r="35" ht="17.25" customHeight="1">
      <c r="A35" s="29" t="inlineStr">
        <is>
          <t>── ROLLUP: estimated monthly variable spend ──</t>
        </is>
      </c>
      <c r="B35" s="84" t="n"/>
      <c r="C35" s="84" t="n"/>
      <c r="D35" s="84" t="n"/>
      <c r="E35" s="84" t="n"/>
      <c r="F35" s="84" t="n"/>
      <c r="G35" s="84" t="n"/>
      <c r="H35" s="84" t="n"/>
      <c r="I35" s="85" t="n"/>
    </row>
    <row r="36" ht="17.25" customHeight="1">
      <c r="A36" s="36" t="inlineStr">
        <is>
          <t>Component</t>
        </is>
      </c>
      <c r="B36" s="36" t="inlineStr">
        <is>
          <t>Cost basis</t>
        </is>
      </c>
      <c r="C36" s="36" t="n"/>
      <c r="D36" s="36" t="n"/>
      <c r="E36" s="36" t="n"/>
      <c r="F36" s="37" t="n"/>
      <c r="G36" s="37" t="inlineStr">
        <is>
          <t>Typical $</t>
        </is>
      </c>
      <c r="H36" s="37" t="inlineStr">
        <is>
          <t>Max $</t>
        </is>
      </c>
      <c r="I36" s="36" t="inlineStr">
        <is>
          <t>Note</t>
        </is>
      </c>
    </row>
    <row r="37" ht="30" customHeight="1">
      <c r="A37" s="10" t="inlineStr">
        <is>
          <t>Trace ingest</t>
        </is>
      </c>
      <c r="B37" s="15" t="inlineStr">
        <is>
          <t>traces × Assumptions!$B$16</t>
        </is>
      </c>
      <c r="C37" s="31" t="n"/>
      <c r="D37" s="31" t="n"/>
      <c r="E37" s="31" t="n"/>
      <c r="F37" s="34" t="n"/>
      <c r="G37" s="13">
        <f>500000*Assumptions!$B$16</f>
        <v/>
      </c>
      <c r="H37" s="13">
        <f>4500000*Assumptions!$B$16</f>
        <v/>
      </c>
      <c r="I37" s="15" t="inlineStr">
        <is>
          <t>Variable with volume</t>
        </is>
      </c>
    </row>
    <row r="38" ht="30" customHeight="1">
      <c r="A38" s="10" t="inlineStr">
        <is>
          <t>Voyage embedding</t>
        </is>
      </c>
      <c r="B38" s="15" t="inlineStr">
        <is>
          <t>min(traces × Assumptions!$B$22/1M × Assumptions!$B$21, $600)</t>
        </is>
      </c>
      <c r="C38" s="31" t="n"/>
      <c r="D38" s="31" t="n"/>
      <c r="E38" s="31" t="n"/>
      <c r="F38" s="34" t="n"/>
      <c r="G38" s="13">
        <f>MIN(500000*Assumptions!$B$22/1000000*Assumptions!$B$21,Assumptions!$B$23/1000000*Assumptions!$B$21)</f>
        <v/>
      </c>
      <c r="H38" s="13">
        <f>MIN(4500000*Assumptions!$B$22/1000000*Assumptions!$B$21,Assumptions!$B$23/1000000*Assumptions!$B$21)</f>
        <v/>
      </c>
      <c r="I38" s="15" t="inlineStr">
        <is>
          <t>Capped at 5B Voyage tokens/mo</t>
        </is>
      </c>
    </row>
    <row r="39" ht="30" customHeight="1">
      <c r="A39" s="10" t="inlineStr">
        <is>
          <t>Live eval</t>
        </is>
      </c>
      <c r="B39" s="15" t="inlineStr">
        <is>
          <t>runs × Assumptions!$B$18</t>
        </is>
      </c>
      <c r="C39" s="31" t="n"/>
      <c r="D39" s="31" t="n"/>
      <c r="E39" s="31" t="n"/>
      <c r="F39" s="34" t="n"/>
      <c r="G39" s="13">
        <f>50000*Assumptions!$B$18</f>
        <v/>
      </c>
      <c r="H39" s="13">
        <f>150000*Assumptions!$B$18</f>
        <v/>
      </c>
      <c r="I39" s="15" t="inlineStr">
        <is>
          <t>Sampled subset of traces</t>
        </is>
      </c>
    </row>
    <row r="40" ht="30" customHeight="1">
      <c r="A40" s="10" t="inlineStr">
        <is>
          <t>Flagger LLM</t>
        </is>
      </c>
      <c r="B40" s="15" t="inlineStr">
        <is>
          <t>scans × Assumptions!$B$17</t>
        </is>
      </c>
      <c r="C40" s="31" t="n"/>
      <c r="D40" s="31" t="n"/>
      <c r="E40" s="31" t="n"/>
      <c r="F40" s="34" t="n"/>
      <c r="G40" s="13">
        <f>30000*Assumptions!$B$17</f>
        <v/>
      </c>
      <c r="H40" s="13">
        <f>150000*Assumptions!$B$17</f>
        <v/>
      </c>
      <c r="I40" s="15" t="inlineStr">
        <is>
          <t>10% of matched traces</t>
        </is>
      </c>
    </row>
    <row r="41" ht="30" customHeight="1">
      <c r="A41" s="10" t="inlineStr">
        <is>
          <t>Eval generation</t>
        </is>
      </c>
      <c r="B41" s="15" t="inlineStr">
        <is>
          <t>runs × Assumptions!$B$19</t>
        </is>
      </c>
      <c r="C41" s="31" t="n"/>
      <c r="D41" s="31" t="n"/>
      <c r="E41" s="31" t="n"/>
      <c r="F41" s="34" t="n"/>
      <c r="G41" s="13">
        <f>20*Assumptions!$B$19</f>
        <v/>
      </c>
      <c r="H41" s="13">
        <f>100*Assumptions!$B$19</f>
        <v/>
      </c>
      <c r="I41" s="15" t="inlineStr">
        <is>
          <t>Gated by issues; cap at 100/mo</t>
        </is>
      </c>
    </row>
    <row r="42" ht="30" customHeight="1">
      <c r="A42" s="10" t="inlineStr">
        <is>
          <t>CH + Postgres storage</t>
        </is>
      </c>
      <c r="B42" s="15" t="inlineStr">
        <is>
          <t>GB-mo across all tables</t>
        </is>
      </c>
      <c r="C42" s="31" t="n"/>
      <c r="D42" s="31" t="n"/>
      <c r="E42" s="31" t="n"/>
      <c r="F42" s="34" t="n"/>
      <c r="G42" s="13" t="n">
        <v>40</v>
      </c>
      <c r="H42" s="13" t="n">
        <v>200</v>
      </c>
      <c r="I42" s="15" t="inlineStr">
        <is>
          <t>Self-hosted on EBS</t>
        </is>
      </c>
    </row>
    <row r="43" ht="30" customHeight="1">
      <c r="A43" s="10" t="inlineStr">
        <is>
          <t>Fixed infra share</t>
        </is>
      </c>
      <c r="B43" s="15" t="inlineStr">
        <is>
          <t>see above</t>
        </is>
      </c>
      <c r="C43" s="31" t="n"/>
      <c r="D43" s="31" t="n"/>
      <c r="E43" s="31" t="n"/>
      <c r="F43" s="34" t="n"/>
      <c r="G43" s="13">
        <f>Assumptions!$B$9</f>
        <v/>
      </c>
      <c r="H43" s="13">
        <f>Assumptions!$B$9</f>
        <v/>
      </c>
      <c r="I43" s="15" t="inlineStr">
        <is>
          <t>Per-customer allocation</t>
        </is>
      </c>
    </row>
    <row r="44" ht="17.25" customHeight="1">
      <c r="A44" s="38" t="inlineStr">
        <is>
          <t>TOTAL COGS</t>
        </is>
      </c>
      <c r="B44" s="24" t="n"/>
      <c r="C44" s="24" t="n"/>
      <c r="D44" s="24" t="n"/>
      <c r="E44" s="24" t="n"/>
      <c r="F44" s="40" t="n"/>
      <c r="G44" s="20">
        <f>SUM(G37:G43)</f>
        <v/>
      </c>
      <c r="H44" s="20">
        <f>SUM(H37:H43)</f>
        <v/>
      </c>
      <c r="I44" s="24" t="n"/>
    </row>
    <row r="45" ht="17.25" customHeight="1">
      <c r="A45" s="17" t="inlineStr">
        <is>
          <t>Revenue</t>
        </is>
      </c>
      <c r="B45" s="24" t="n"/>
      <c r="C45" s="24" t="n"/>
      <c r="D45" s="24" t="n"/>
      <c r="E45" s="24" t="n"/>
      <c r="F45" s="40" t="n"/>
      <c r="G45" s="21">
        <f>Assumptions!$B$4</f>
        <v/>
      </c>
      <c r="H45" s="21">
        <f>Assumptions!$B$4</f>
        <v/>
      </c>
      <c r="I45" s="24" t="n"/>
    </row>
    <row r="46" ht="17.25" customHeight="1">
      <c r="A46" s="39" t="inlineStr">
        <is>
          <t>Gross margin</t>
        </is>
      </c>
      <c r="B46" s="24" t="n"/>
      <c r="C46" s="24" t="n"/>
      <c r="D46" s="24" t="n"/>
      <c r="E46" s="24" t="n"/>
      <c r="F46" s="40" t="n"/>
      <c r="G46" s="23">
        <f>(G45-G44)/G45</f>
        <v/>
      </c>
      <c r="H46" s="23">
        <f>(H45-H44)/H45</f>
        <v/>
      </c>
      <c r="I46" s="24" t="n"/>
    </row>
  </sheetData>
  <mergeCells count="9">
    <mergeCell ref="A19:I19"/>
    <mergeCell ref="A1:I1"/>
    <mergeCell ref="A8:I8"/>
    <mergeCell ref="A22:I22"/>
    <mergeCell ref="A12:I12"/>
    <mergeCell ref="A4:I4"/>
    <mergeCell ref="A26:I26"/>
    <mergeCell ref="A16:I16"/>
    <mergeCell ref="A35:I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I17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22.005" bestFit="1" customWidth="1" style="24" min="1" max="1"/>
    <col width="18.005" bestFit="1" customWidth="1" style="25" min="2" max="2"/>
    <col width="16.005" bestFit="1" customWidth="1" style="24" min="3" max="3"/>
    <col width="18.005" bestFit="1" customWidth="1" style="24" min="4" max="4"/>
    <col width="18.005" bestFit="1" customWidth="1" style="24" min="5" max="5"/>
    <col width="14.005" bestFit="1" customWidth="1" style="24" min="6" max="6"/>
    <col width="16.005" bestFit="1" customWidth="1" style="24" min="7" max="7"/>
    <col width="14.005" bestFit="1" customWidth="1" style="24" min="8" max="8"/>
    <col width="35.005" bestFit="1" customWidth="1" style="26" min="9" max="9"/>
  </cols>
  <sheetData>
    <row r="1" ht="17.25" customHeight="1">
      <c r="A1" s="1" t="inlineStr">
        <is>
          <t>ENTERPRISE PRICING TIERS</t>
        </is>
      </c>
    </row>
    <row r="2" ht="17.25" customFormat="1" customHeight="1" s="5">
      <c r="A2" s="6" t="inlineStr">
        <is>
          <t>4 tiers de Enterprise. Precio por crédito decrece linealmente entre ceiling y floor, tocando el floor en el anclaje (default 4.5M).</t>
        </is>
      </c>
    </row>
    <row r="3" ht="17.25" customHeight="1">
      <c r="A3" s="24" t="n"/>
      <c r="B3" s="25" t="n"/>
      <c r="C3" s="24" t="n"/>
      <c r="D3" s="24" t="n"/>
      <c r="E3" s="24" t="n"/>
      <c r="F3" s="24" t="n"/>
      <c r="G3" s="24" t="n"/>
      <c r="H3" s="24" t="n"/>
      <c r="I3" s="26" t="n"/>
    </row>
    <row r="4" ht="35" customFormat="1" customHeight="1" s="5">
      <c r="A4" s="8" t="inlineStr">
        <is>
          <t>Tier</t>
        </is>
      </c>
      <c r="B4" s="9" t="inlineStr">
        <is>
          <t>Créditos / mes</t>
        </is>
      </c>
      <c r="C4" s="8" t="inlineStr">
        <is>
          <t>Precio / crédito</t>
        </is>
      </c>
      <c r="D4" s="8" t="inlineStr">
        <is>
          <t>Revenue / mes</t>
        </is>
      </c>
      <c r="E4" s="8" t="inlineStr">
        <is>
          <t>COGS (mix default)</t>
        </is>
      </c>
      <c r="F4" s="8" t="inlineStr">
        <is>
          <t>Margen</t>
        </is>
      </c>
      <c r="G4" s="8" t="inlineStr">
        <is>
          <t>Ahorro vs ceiling</t>
        </is>
      </c>
      <c r="H4" s="8" t="inlineStr">
        <is>
          <t>Ahorro %</t>
        </is>
      </c>
      <c r="I4" s="8" t="inlineStr">
        <is>
          <t>Notas</t>
        </is>
      </c>
    </row>
    <row r="5" ht="28.5" customHeight="1">
      <c r="A5" s="10" t="inlineStr">
        <is>
          <t>Enterprise Startup</t>
        </is>
      </c>
      <c r="B5" s="11" t="n">
        <v>1000000</v>
      </c>
      <c r="C5" s="12">
        <f>MAX(Assumptions!$B$29,Assumptions!$B$30-(Assumptions!$B$30-Assumptions!$B$29)*B5/Assumptions!$B$31)</f>
        <v/>
      </c>
      <c r="D5" s="13">
        <f>B5*C5</f>
        <v/>
      </c>
      <c r="E5" s="13">
        <f>0.6*B5/Assumptions!$B$11*Assumptions!$B$16+MIN(0.6*B5/Assumptions!$B$11*Assumptions!$B$22/1000000*Assumptions!$B$21,Assumptions!$B$23/1000000*Assumptions!$B$21)+0.25*B5/Assumptions!$B$13*Assumptions!$B$18+0.12*B5/Assumptions!$B$12*Assumptions!$B$17+0.03*B5/Assumptions!$B$14*Assumptions!$B$19+Assumptions!$B$9</f>
        <v/>
      </c>
      <c r="F5" s="14">
        <f>(D5-E5)/D5</f>
        <v/>
      </c>
      <c r="G5" s="13">
        <f>B5*Assumptions!$B$30-D5</f>
        <v/>
      </c>
      <c r="H5" s="14">
        <f>(B5*Assumptions!$B$30-D5)/(B5*Assumptions!$B$30)</f>
        <v/>
      </c>
      <c r="I5" s="15" t="inlineStr">
        <is>
          <t>Entry Enterprise — para startups/early-stage</t>
        </is>
      </c>
    </row>
    <row r="6" ht="18" customHeight="1">
      <c r="A6" s="10" t="inlineStr">
        <is>
          <t>Enterprise S</t>
        </is>
      </c>
      <c r="B6" s="11" t="n">
        <v>2000000</v>
      </c>
      <c r="C6" s="12">
        <f>MAX(Assumptions!$B$29,Assumptions!$B$30-(Assumptions!$B$30-Assumptions!$B$29)*B6/Assumptions!$B$31)</f>
        <v/>
      </c>
      <c r="D6" s="13">
        <f>B6*C6</f>
        <v/>
      </c>
      <c r="E6" s="13">
        <f>0.6*B6/Assumptions!$B$11*Assumptions!$B$16+MIN(0.6*B6/Assumptions!$B$11*Assumptions!$B$22/1000000*Assumptions!$B$21,Assumptions!$B$23/1000000*Assumptions!$B$21)+0.25*B6/Assumptions!$B$13*Assumptions!$B$18+0.12*B6/Assumptions!$B$12*Assumptions!$B$17+0.03*B6/Assumptions!$B$14*Assumptions!$B$19+Assumptions!$B$9</f>
        <v/>
      </c>
      <c r="F6" s="14">
        <f>(D6-E6)/D6</f>
        <v/>
      </c>
      <c r="G6" s="13">
        <f>B6*Assumptions!$B$30-D6</f>
        <v/>
      </c>
      <c r="H6" s="14">
        <f>(B6*Assumptions!$B$30-D6)/(B6*Assumptions!$B$30)</f>
        <v/>
      </c>
      <c r="I6" s="15" t="inlineStr">
        <is>
          <t>Compromiso mínimo growth</t>
        </is>
      </c>
    </row>
    <row r="7" ht="18" customHeight="1">
      <c r="A7" s="10" t="inlineStr">
        <is>
          <t>Enterprise M</t>
        </is>
      </c>
      <c r="B7" s="11" t="n">
        <v>4500000</v>
      </c>
      <c r="C7" s="12">
        <f>MAX(Assumptions!$B$29,Assumptions!$B$30-(Assumptions!$B$30-Assumptions!$B$29)*B7/Assumptions!$B$31)</f>
        <v/>
      </c>
      <c r="D7" s="13">
        <f>B7*C7</f>
        <v/>
      </c>
      <c r="E7" s="13">
        <f>0.6*B7/Assumptions!$B$11*Assumptions!$B$16+MIN(0.6*B7/Assumptions!$B$11*Assumptions!$B$22/1000000*Assumptions!$B$21,Assumptions!$B$23/1000000*Assumptions!$B$21)+0.25*B7/Assumptions!$B$13*Assumptions!$B$18+0.12*B7/Assumptions!$B$12*Assumptions!$B$17+0.03*B7/Assumptions!$B$14*Assumptions!$B$19+Assumptions!$B$9</f>
        <v/>
      </c>
      <c r="F7" s="14">
        <f>(D7-E7)/D7</f>
        <v/>
      </c>
      <c r="G7" s="13">
        <f>B7*Assumptions!$B$30-D7</f>
        <v/>
      </c>
      <c r="H7" s="14">
        <f>(B7*Assumptions!$B$30-D7)/(B7*Assumptions!$B$30)</f>
        <v/>
      </c>
      <c r="I7" s="15" t="inlineStr">
        <is>
          <t>Ancla — precio floor</t>
        </is>
      </c>
    </row>
    <row r="8" ht="18.75" customHeight="1">
      <c r="A8" s="10" t="inlineStr">
        <is>
          <t>Enterprise L</t>
        </is>
      </c>
      <c r="B8" s="11" t="n">
        <v>10000000</v>
      </c>
      <c r="C8" s="12">
        <f>MAX(Assumptions!$B$29,Assumptions!$B$30-(Assumptions!$B$30-Assumptions!$B$29)*B8/Assumptions!$B$31)</f>
        <v/>
      </c>
      <c r="D8" s="13">
        <f>B8*C8</f>
        <v/>
      </c>
      <c r="E8" s="13">
        <f>0.6*B8/Assumptions!$B$11*Assumptions!$B$16+MIN(0.6*B8/Assumptions!$B$11*Assumptions!$B$22/1000000*Assumptions!$B$21,Assumptions!$B$23/1000000*Assumptions!$B$21)+0.25*B8/Assumptions!$B$13*Assumptions!$B$18+0.12*B8/Assumptions!$B$12*Assumptions!$B$17+0.03*B8/Assumptions!$B$14*Assumptions!$B$19+Assumptions!$B$9</f>
        <v/>
      </c>
      <c r="F8" s="14">
        <f>(D8-E8)/D8</f>
        <v/>
      </c>
      <c r="G8" s="13">
        <f>B8*Assumptions!$B$30-D8</f>
        <v/>
      </c>
      <c r="H8" s="14">
        <f>(B8*Assumptions!$B$30-D8)/(B8*Assumptions!$B$30)</f>
        <v/>
      </c>
      <c r="I8" s="15" t="inlineStr">
        <is>
          <t>Gran volumen — floor price aplica</t>
        </is>
      </c>
    </row>
    <row r="9" ht="17.25" customHeight="1">
      <c r="A9" s="24" t="n"/>
      <c r="B9" s="25" t="n"/>
      <c r="C9" s="24" t="n"/>
      <c r="D9" s="24" t="n"/>
      <c r="E9" s="24" t="n"/>
      <c r="F9" s="24" t="n"/>
      <c r="G9" s="24" t="n"/>
      <c r="H9" s="24" t="n"/>
      <c r="I9" s="26" t="n"/>
    </row>
    <row r="10" ht="17.25" customHeight="1">
      <c r="A10" s="24" t="n"/>
      <c r="B10" s="25" t="n"/>
      <c r="C10" s="24" t="n"/>
      <c r="D10" s="24" t="n"/>
      <c r="E10" s="24" t="n"/>
      <c r="F10" s="24" t="n"/>
      <c r="G10" s="24" t="n"/>
      <c r="H10" s="24" t="n"/>
      <c r="I10" s="26" t="n"/>
    </row>
    <row r="11" ht="20.25" customHeight="1">
      <c r="A11" s="16" t="inlineStr">
        <is>
          <t>── CALCULADORA CUSTOM ──</t>
        </is>
      </c>
      <c r="B11" s="84" t="n"/>
      <c r="C11" s="84" t="n"/>
      <c r="D11" s="84" t="n"/>
      <c r="E11" s="84" t="n"/>
      <c r="F11" s="84" t="n"/>
      <c r="G11" s="84" t="n"/>
      <c r="H11" s="84" t="n"/>
      <c r="I11" s="85" t="n"/>
    </row>
    <row r="12" ht="18" customHeight="1">
      <c r="A12" s="17" t="inlineStr">
        <is>
          <t>Sales tool — meter cualquier volumen comprometido:</t>
        </is>
      </c>
      <c r="B12" s="25" t="n"/>
      <c r="C12" s="24" t="n"/>
      <c r="D12" s="24" t="n"/>
      <c r="E12" s="24" t="n"/>
      <c r="F12" s="24" t="n"/>
      <c r="G12" s="24" t="n"/>
      <c r="H12" s="24" t="n"/>
      <c r="I12" s="26" t="n"/>
    </row>
    <row r="13" ht="18.75" customHeight="1">
      <c r="A13" s="17" t="inlineStr">
        <is>
          <t>Créditos / mes</t>
        </is>
      </c>
      <c r="B13" s="18" t="n">
        <v>3000000</v>
      </c>
      <c r="C13" s="24" t="n"/>
      <c r="D13" s="24" t="n"/>
      <c r="E13" s="24" t="n"/>
      <c r="F13" s="24" t="n"/>
      <c r="G13" s="24" t="n"/>
      <c r="H13" s="24" t="n"/>
      <c r="I13" s="26" t="n"/>
    </row>
    <row r="14" ht="18" customHeight="1">
      <c r="A14" s="17" t="inlineStr">
        <is>
          <t>Precio / crédito</t>
        </is>
      </c>
      <c r="B14" s="19">
        <f>MAX(Assumptions!$B$29,Assumptions!$B$30-(Assumptions!$B$30-Assumptions!$B$29)*B13/Assumptions!$B$31)</f>
        <v/>
      </c>
      <c r="C14" s="24" t="n"/>
      <c r="D14" s="24" t="n"/>
      <c r="E14" s="24" t="n"/>
      <c r="F14" s="24" t="n"/>
      <c r="G14" s="24" t="n"/>
      <c r="H14" s="24" t="n"/>
      <c r="I14" s="26" t="n"/>
    </row>
    <row r="15" ht="18" customHeight="1">
      <c r="A15" s="17" t="inlineStr">
        <is>
          <t>Revenue mensual</t>
        </is>
      </c>
      <c r="B15" s="20">
        <f>B13*B14</f>
        <v/>
      </c>
      <c r="C15" s="24" t="n"/>
      <c r="D15" s="24" t="n"/>
      <c r="E15" s="24" t="n"/>
      <c r="F15" s="24" t="n"/>
      <c r="G15" s="24" t="n"/>
      <c r="H15" s="24" t="n"/>
      <c r="I15" s="26" t="n"/>
    </row>
    <row r="16" ht="18" customHeight="1">
      <c r="A16" s="17" t="inlineStr">
        <is>
          <t>COGS estimado</t>
        </is>
      </c>
      <c r="B16" s="21">
        <f>0.6*B13/Assumptions!$B$11*Assumptions!$B$16+MIN(0.6*B13/Assumptions!$B$11*Assumptions!$B$22/1000000*Assumptions!$B$21,Assumptions!$B$23/1000000*Assumptions!$B$21)+0.25*B13/Assumptions!$B$13*Assumptions!$B$18+0.12*B13/Assumptions!$B$12*Assumptions!$B$17+0.03*B13/Assumptions!$B$14*Assumptions!$B$19+Assumptions!$B$9</f>
        <v/>
      </c>
      <c r="C16" s="24" t="n"/>
      <c r="D16" s="24" t="n"/>
      <c r="E16" s="24" t="n"/>
      <c r="F16" s="24" t="n"/>
      <c r="G16" s="24" t="n"/>
      <c r="H16" s="24" t="n"/>
      <c r="I16" s="26" t="n"/>
    </row>
    <row r="17" ht="21" customHeight="1">
      <c r="A17" s="22" t="inlineStr">
        <is>
          <t>Margen bruto</t>
        </is>
      </c>
      <c r="B17" s="23">
        <f>(B15-B16)/B15</f>
        <v/>
      </c>
      <c r="C17" s="24" t="n"/>
      <c r="D17" s="24" t="n"/>
      <c r="E17" s="24" t="n"/>
      <c r="F17" s="24" t="n"/>
      <c r="G17" s="24" t="n"/>
      <c r="H17" s="24" t="n"/>
      <c r="I17" s="26" t="n"/>
    </row>
  </sheetData>
  <mergeCells count="3">
    <mergeCell ref="A1:I1"/>
    <mergeCell ref="A2:I2"/>
    <mergeCell ref="A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2026-06-01T16:11:22Z</dcterms:created>
  <dcterms:modified xsi:type="dcterms:W3CDTF">2026-06-02T08:54:25Z</dcterms:modified>
</cp:coreProperties>
</file>